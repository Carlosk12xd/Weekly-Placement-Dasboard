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.xml" ContentType="application/vnd.openxmlformats-officedocument.drawing+xml"/>
  <Override PartName="/xl/tables/table39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40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tables/table41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tables/table42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tables/table43.xml" ContentType="application/vnd.openxmlformats-officedocument.spreadsheetml.tab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tables/table44.xml" ContentType="application/vnd.openxmlformats-officedocument.spreadsheetml.tab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tables/table45.xml" ContentType="application/vnd.openxmlformats-officedocument.spreadsheetml.tab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9.xml" ContentType="application/vnd.openxmlformats-officedocument.drawing+xml"/>
  <Override PartName="/xl/tables/table46.xml" ContentType="application/vnd.openxmlformats-officedocument.spreadsheetml.tab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0.xml" ContentType="application/vnd.openxmlformats-officedocument.drawing+xml"/>
  <Override PartName="/xl/tables/table47.xml" ContentType="application/vnd.openxmlformats-officedocument.spreadsheetml.table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1.xml" ContentType="application/vnd.openxmlformats-officedocument.drawing+xml"/>
  <Override PartName="/xl/tables/table48.xml" ContentType="application/vnd.openxmlformats-officedocument.spreadsheetml.table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2.xml" ContentType="application/vnd.openxmlformats-officedocument.drawing+xml"/>
  <Override PartName="/xl/tables/table49.xml" ContentType="application/vnd.openxmlformats-officedocument.spreadsheetml.table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3.xml" ContentType="application/vnd.openxmlformats-officedocument.drawing+xml"/>
  <Override PartName="/xl/tables/table50.xml" ContentType="application/vnd.openxmlformats-officedocument.spreadsheetml.table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4.xml" ContentType="application/vnd.openxmlformats-officedocument.drawing+xml"/>
  <Override PartName="/xl/tables/table51.xml" ContentType="application/vnd.openxmlformats-officedocument.spreadsheetml.tab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5.xml" ContentType="application/vnd.openxmlformats-officedocument.drawing+xml"/>
  <Override PartName="/xl/tables/table52.xml" ContentType="application/vnd.openxmlformats-officedocument.spreadsheetml.table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6340b33b1a09fe/Documents/PT Jobs/BCC/Automation/"/>
    </mc:Choice>
  </mc:AlternateContent>
  <xr:revisionPtr revIDLastSave="0" documentId="13_ncr:1_{FCD43E4D-EA50-9B47-8EAF-DED59AB4A30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SB Full-Time Dashboard" sheetId="1" r:id="rId1"/>
    <sheet name="NittyGrittySheet" sheetId="2" r:id="rId2"/>
    <sheet name="BSAcc" sheetId="3" r:id="rId3"/>
    <sheet name="BSEDM" sheetId="4" r:id="rId4"/>
    <sheet name="BSEnt" sheetId="5" r:id="rId5"/>
    <sheet name="BSFin" sheetId="6" r:id="rId6"/>
    <sheet name="BSGSCM" sheetId="7" r:id="rId7"/>
    <sheet name="BSHRM" sheetId="8" r:id="rId8"/>
    <sheet name="BSIS" sheetId="9" r:id="rId9"/>
    <sheet name="BSBusM" sheetId="10" r:id="rId10"/>
    <sheet name="BSMktg" sheetId="11" r:id="rId11"/>
    <sheet name="BSStrat" sheetId="12" r:id="rId12"/>
    <sheet name="MAcc" sheetId="13" r:id="rId13"/>
    <sheet name="MBA" sheetId="14" r:id="rId14"/>
    <sheet name="MISM" sheetId="15" r:id="rId15"/>
    <sheet name="MPA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B19" i="2"/>
  <c r="C18" i="2"/>
  <c r="D18" i="2" s="1"/>
  <c r="H17" i="2"/>
  <c r="C17" i="2"/>
  <c r="D17" i="2" s="1"/>
  <c r="H16" i="2"/>
  <c r="C16" i="2"/>
  <c r="D16" i="2" s="1"/>
  <c r="H15" i="2"/>
  <c r="C15" i="2"/>
  <c r="D15" i="2" s="1"/>
  <c r="H14" i="2"/>
  <c r="C14" i="2"/>
  <c r="D14" i="2" s="1"/>
  <c r="H13" i="2"/>
  <c r="C13" i="2"/>
  <c r="D13" i="2" s="1"/>
  <c r="H12" i="2"/>
  <c r="C12" i="2"/>
  <c r="D12" i="2" s="1"/>
  <c r="H11" i="2"/>
  <c r="C11" i="2"/>
  <c r="D11" i="2" s="1"/>
  <c r="H10" i="2"/>
  <c r="C10" i="2"/>
  <c r="D10" i="2" s="1"/>
  <c r="H9" i="2"/>
  <c r="C9" i="2"/>
  <c r="D9" i="2" s="1"/>
  <c r="H8" i="2"/>
  <c r="I8" i="2" s="1"/>
  <c r="C8" i="2"/>
  <c r="D8" i="2" s="1"/>
  <c r="H7" i="2"/>
  <c r="I7" i="2" s="1"/>
  <c r="C7" i="2"/>
  <c r="D7" i="2" s="1"/>
  <c r="H6" i="2"/>
  <c r="I6" i="2" s="1"/>
  <c r="C6" i="2"/>
  <c r="D6" i="2" s="1"/>
  <c r="H5" i="2"/>
  <c r="I5" i="2" s="1"/>
  <c r="C5" i="2"/>
  <c r="H4" i="2"/>
  <c r="I4" i="2" s="1"/>
  <c r="C4" i="2"/>
</calcChain>
</file>

<file path=xl/sharedStrings.xml><?xml version="1.0" encoding="utf-8"?>
<sst xmlns="http://schemas.openxmlformats.org/spreadsheetml/2006/main" count="1121" uniqueCount="202">
  <si>
    <t>Weekly: MSB (All Programs) Class of 2027 Placement</t>
  </si>
  <si>
    <t>Monthly: MSB (All Programs) Historical Placement Comparison</t>
  </si>
  <si>
    <t>Placement % Comparison Table</t>
  </si>
  <si>
    <t>NOTE: Placement % is measured at the END of each month</t>
  </si>
  <si>
    <t>Month</t>
  </si>
  <si>
    <t>2027</t>
  </si>
  <si>
    <t>2026</t>
  </si>
  <si>
    <t>2025</t>
  </si>
  <si>
    <t>2024</t>
  </si>
  <si>
    <t>2023</t>
  </si>
  <si>
    <t>2022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</si>
  <si>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</si>
  <si>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</si>
  <si>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</si>
  <si>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</si>
  <si>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</si>
  <si>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</si>
  <si>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</si>
  <si>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</si>
  <si>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</si>
  <si>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</si>
  <si>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</si>
  <si>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</si>
  <si>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</si>
  <si>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</si>
  <si>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MSB Full-Time Dashboard Data</t>
  </si>
  <si>
    <t>Class of 2027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</si>
  <si>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</si>
  <si>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</si>
  <si>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</si>
  <si>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</si>
  <si>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</si>
  <si>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</si>
  <si>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</si>
  <si>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</si>
  <si>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</si>
  <si>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</si>
  <si>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</si>
  <si>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</si>
  <si>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2026-08 or before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</si>
  <si>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</si>
  <si>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</si>
  <si>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</si>
  <si>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</si>
  <si>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</si>
  <si>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</si>
  <si>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2026-09</t>
  </si>
  <si>
    <t>2025-09</t>
  </si>
  <si>
    <t>2024-09</t>
  </si>
  <si>
    <t>2023-09</t>
  </si>
  <si>
    <t>2022-09</t>
  </si>
  <si>
    <t>2021-09</t>
  </si>
  <si>
    <t>2020-09</t>
  </si>
  <si>
    <t>2026-10</t>
  </si>
  <si>
    <t>2025-10</t>
  </si>
  <si>
    <t>2024-10</t>
  </si>
  <si>
    <t>2023-10</t>
  </si>
  <si>
    <t>2022-10</t>
  </si>
  <si>
    <t>2021-10</t>
  </si>
  <si>
    <t>2020-10</t>
  </si>
  <si>
    <t>2026-11</t>
  </si>
  <si>
    <t>2025-11</t>
  </si>
  <si>
    <t>2024-11</t>
  </si>
  <si>
    <t>2023-11</t>
  </si>
  <si>
    <t>2022-11</t>
  </si>
  <si>
    <t>2021-11</t>
  </si>
  <si>
    <t>2020-11</t>
  </si>
  <si>
    <t>2026-12</t>
  </si>
  <si>
    <t>2025-12</t>
  </si>
  <si>
    <t>2024-12</t>
  </si>
  <si>
    <t>2023-12</t>
  </si>
  <si>
    <t>2022-12</t>
  </si>
  <si>
    <t>2021-12</t>
  </si>
  <si>
    <t>2020-12</t>
  </si>
  <si>
    <t>2027-01</t>
  </si>
  <si>
    <t>2026-01</t>
  </si>
  <si>
    <t>2025-01</t>
  </si>
  <si>
    <t>2024-01</t>
  </si>
  <si>
    <t>2023-01</t>
  </si>
  <si>
    <t>2022-01</t>
  </si>
  <si>
    <t>2021-01</t>
  </si>
  <si>
    <t>2027-02</t>
  </si>
  <si>
    <t>2026-02</t>
  </si>
  <si>
    <t>2025-02</t>
  </si>
  <si>
    <t>2024-02</t>
  </si>
  <si>
    <t>2023-02</t>
  </si>
  <si>
    <t>2022-02</t>
  </si>
  <si>
    <t>2021-02</t>
  </si>
  <si>
    <t>2027-03</t>
  </si>
  <si>
    <t>2026-03</t>
  </si>
  <si>
    <t>2025-03</t>
  </si>
  <si>
    <t>2024-03</t>
  </si>
  <si>
    <t>2023-03</t>
  </si>
  <si>
    <t>2022-03</t>
  </si>
  <si>
    <t>2021-03</t>
  </si>
  <si>
    <t>2027-04</t>
  </si>
  <si>
    <t>2026-04</t>
  </si>
  <si>
    <t>2025-04</t>
  </si>
  <si>
    <t>2024-04</t>
  </si>
  <si>
    <t>2023-04</t>
  </si>
  <si>
    <t>2022-04</t>
  </si>
  <si>
    <t>2021-04</t>
  </si>
  <si>
    <t>2027-05</t>
  </si>
  <si>
    <t>2026-05</t>
  </si>
  <si>
    <t>2025-05</t>
  </si>
  <si>
    <t>2024-05</t>
  </si>
  <si>
    <t>2023-05</t>
  </si>
  <si>
    <t>2022-05</t>
  </si>
  <si>
    <t>2021-05</t>
  </si>
  <si>
    <t>2027-06</t>
  </si>
  <si>
    <t>2026-06</t>
  </si>
  <si>
    <t>2025-06</t>
  </si>
  <si>
    <t>2024-06</t>
  </si>
  <si>
    <t>2023-06</t>
  </si>
  <si>
    <t>2022-06</t>
  </si>
  <si>
    <t>2021-06</t>
  </si>
  <si>
    <t>2027-07</t>
  </si>
  <si>
    <t>2026-07</t>
  </si>
  <si>
    <t>2025-07</t>
  </si>
  <si>
    <t>2024-07</t>
  </si>
  <si>
    <t>2023-07</t>
  </si>
  <si>
    <t>2022-07</t>
  </si>
  <si>
    <t>2021-07</t>
  </si>
  <si>
    <t>2027-08</t>
  </si>
  <si>
    <t>2026-08</t>
  </si>
  <si>
    <t>2025-08</t>
  </si>
  <si>
    <t>2024-08</t>
  </si>
  <si>
    <t>2023-08</t>
  </si>
  <si>
    <t>2022-08</t>
  </si>
  <si>
    <t>2021-08</t>
  </si>
  <si>
    <t>2027-09</t>
  </si>
  <si>
    <t>2027-10 past cutoff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</si>
  <si>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</si>
  <si>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</si>
  <si>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</si>
  <si>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</si>
  <si>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</si>
  <si>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</si>
  <si>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</si>
  <si>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</si>
  <si>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2027 MSB Weekly Placement</t>
  </si>
  <si>
    <t>Placement</t>
  </si>
  <si>
    <t>9/18/2026</t>
  </si>
  <si>
    <t>9/25/2026</t>
  </si>
  <si>
    <t>9/30/2026</t>
  </si>
  <si>
    <t>10/2/2026</t>
  </si>
  <si>
    <t>10/9/2026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</si>
  <si>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</si>
  <si>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</si>
  <si>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</si>
  <si>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</si>
  <si>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</si>
  <si>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</si>
  <si>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</si>
  <si>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</si>
  <si>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</si>
  <si>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</si>
  <si>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</si>
  <si>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</si>
  <si>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</si>
  <si>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</si>
  <si>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</si>
  <si>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</si>
  <si>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</si>
  <si>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</si>
  <si>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</si>
  <si>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</si>
  <si>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</si>
  <si>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</si>
  <si>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</si>
  <si>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</si>
  <si>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</si>
  <si>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</si>
  <si>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</si>
  <si>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BSAcc Class of 2027 Placement</t>
  </si>
  <si>
    <t>Monthly: BSAcc Historical Placement Comparison</t>
  </si>
  <si>
    <t>Weekly: BSEDM Class of 2027 Placement</t>
  </si>
  <si>
    <t>Monthly: BSEDM Historical Placement Comparison</t>
  </si>
  <si>
    <t>Weekly: BSEnt Class of 2027 Placement</t>
  </si>
  <si>
    <t>Monthly: BSEnt Historical Placement Comparison</t>
  </si>
  <si>
    <t>Weekly: BSFin Class of 2027 Placement</t>
  </si>
  <si>
    <t>Monthly: BSFin Historical Placement Comparison</t>
  </si>
  <si>
    <t>Weekly: BSGSCM Class of 2027 Placement</t>
  </si>
  <si>
    <t>Monthly: BSGSCM Historical Placement Comparison</t>
  </si>
  <si>
    <t>Weekly: BSHRM Class of 2027 Placement</t>
  </si>
  <si>
    <t>Monthly: BSHRM Historical Placement Comparison</t>
  </si>
  <si>
    <t>Weekly: BSIS Class of 2027 Placement</t>
  </si>
  <si>
    <t>Monthly: BSIS Historical Placement Comparison</t>
  </si>
  <si>
    <t>Weekly: BSBusM Class of 2027 Placement</t>
  </si>
  <si>
    <t>Monthly: BSBusM Historical Placement Comparison</t>
  </si>
  <si>
    <t>Weekly: BSMktg Class of 2027 Placement</t>
  </si>
  <si>
    <t>Monthly: BSMktg Historical Placement Comparison</t>
  </si>
  <si>
    <t>Weekly: BSStrat Class of 2027 Placement</t>
  </si>
  <si>
    <t>Monthly: BSStrat Historical Placement Comparison</t>
  </si>
  <si>
    <t>Weekly: MAcc Class of 2027 Placement</t>
  </si>
  <si>
    <t>Monthly: MAcc Historical Placement Comparison</t>
  </si>
  <si>
    <t>Weekly: MBA Class of 2027 Placement</t>
  </si>
  <si>
    <t>Monthly: MBA Historical Placement Comparison</t>
  </si>
  <si>
    <t>Weekly: MISM Class of 2027 Placement</t>
  </si>
  <si>
    <t>Monthly: MISM Historical Placement Comparison</t>
  </si>
  <si>
    <t>Weekly: MPA Class of 2027 Placement</t>
  </si>
  <si>
    <t>Monthly: MPA Historical Placement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</si>
</sst>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  <font>
      <sz val="11"/>
      <color rgb="FF10486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auto="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C0E6F5"/>
      </patternFill>
    </fill>
  </fills>
  <borders count="22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</borders>
  <cellStyleXfs count="3">
    <xf numFmtId="0" fontId="0" fillId="0" borderId="17"/>
    <xf numFmtId="9" fontId="8" fillId="0" borderId="17"/>
    <xf numFmtId="44" fontId="8" fillId="0" borderId="17"/>
  </cellStyleXfs>
  <cellXfs count="83">
    <xf numFmtId="0" fontId="0" fillId="0" borderId="0" xfId="0" applyBorder="1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0" fontId="2" fillId="0" borderId="3" xfId="0" applyNumberFormat="1" applyFont="1" applyBorder="1"/>
    <xf numFmtId="0" fontId="2" fillId="0" borderId="5" xfId="0" applyFont="1" applyBorder="1"/>
    <xf numFmtId="0" fontId="2" fillId="0" borderId="1" xfId="0" applyFont="1" applyBorder="1"/>
    <xf numFmtId="10" fontId="0" fillId="2" borderId="6" xfId="1" applyNumberFormat="1" applyFont="1" applyFill="1" applyBorder="1"/>
    <xf numFmtId="10" fontId="6" fillId="4" borderId="6" xfId="0" applyNumberFormat="1" applyFont="1" applyFill="1" applyBorder="1" applyAlignment="1">
      <alignment horizontal="center"/>
    </xf>
    <xf numFmtId="10" fontId="6" fillId="6" borderId="6" xfId="0" applyNumberFormat="1" applyFont="1" applyFill="1" applyBorder="1" applyAlignment="1">
      <alignment horizontal="center"/>
    </xf>
    <xf numFmtId="10" fontId="6" fillId="8" borderId="6" xfId="0" applyNumberFormat="1" applyFont="1" applyFill="1" applyBorder="1" applyAlignment="1">
      <alignment horizontal="center"/>
    </xf>
    <xf numFmtId="10" fontId="6" fillId="10" borderId="6" xfId="0" applyNumberFormat="1" applyFont="1" applyFill="1" applyBorder="1" applyAlignment="1">
      <alignment horizontal="center"/>
    </xf>
    <xf numFmtId="10" fontId="6" fillId="3" borderId="7" xfId="0" applyNumberFormat="1" applyFont="1" applyFill="1" applyBorder="1" applyAlignment="1">
      <alignment horizontal="center"/>
    </xf>
    <xf numFmtId="10" fontId="6" fillId="5" borderId="7" xfId="0" applyNumberFormat="1" applyFont="1" applyFill="1" applyBorder="1" applyAlignment="1">
      <alignment horizontal="center"/>
    </xf>
    <xf numFmtId="10" fontId="6" fillId="7" borderId="7" xfId="0" applyNumberFormat="1" applyFont="1" applyFill="1" applyBorder="1" applyAlignment="1">
      <alignment horizontal="center"/>
    </xf>
    <xf numFmtId="10" fontId="6" fillId="9" borderId="7" xfId="0" applyNumberFormat="1" applyFont="1" applyFill="1" applyBorder="1" applyAlignment="1">
      <alignment horizontal="center"/>
    </xf>
    <xf numFmtId="10" fontId="6" fillId="4" borderId="7" xfId="0" applyNumberFormat="1" applyFont="1" applyFill="1" applyBorder="1" applyAlignment="1">
      <alignment horizontal="center"/>
    </xf>
    <xf numFmtId="10" fontId="6" fillId="6" borderId="7" xfId="0" applyNumberFormat="1" applyFont="1" applyFill="1" applyBorder="1" applyAlignment="1">
      <alignment horizontal="center"/>
    </xf>
    <xf numFmtId="10" fontId="6" fillId="8" borderId="7" xfId="0" applyNumberFormat="1" applyFont="1" applyFill="1" applyBorder="1" applyAlignment="1">
      <alignment horizontal="center"/>
    </xf>
    <xf numFmtId="10" fontId="6" fillId="10" borderId="7" xfId="0" applyNumberFormat="1" applyFont="1" applyFill="1" applyBorder="1" applyAlignment="1">
      <alignment horizontal="center"/>
    </xf>
    <xf numFmtId="0" fontId="0" fillId="0" borderId="8" xfId="0" applyBorder="1"/>
    <xf numFmtId="0" fontId="13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horizontal="left"/>
    </xf>
    <xf numFmtId="0" fontId="0" fillId="11" borderId="12" xfId="0" applyFill="1" applyBorder="1"/>
    <xf numFmtId="0" fontId="0" fillId="0" borderId="13" xfId="0" applyBorder="1"/>
    <xf numFmtId="10" fontId="6" fillId="12" borderId="14" xfId="0" applyNumberFormat="1" applyFont="1" applyFill="1" applyBorder="1" applyAlignment="1">
      <alignment horizontal="center"/>
    </xf>
    <xf numFmtId="0" fontId="0" fillId="0" borderId="15" xfId="0" applyBorder="1"/>
    <xf numFmtId="10" fontId="6" fillId="11" borderId="16" xfId="0" applyNumberFormat="1" applyFont="1" applyFill="1" applyBorder="1" applyAlignment="1">
      <alignment horizontal="center"/>
    </xf>
    <xf numFmtId="10" fontId="6" fillId="12" borderId="16" xfId="0" applyNumberFormat="1" applyFont="1" applyFill="1" applyBorder="1" applyAlignment="1">
      <alignment horizontal="center"/>
    </xf>
    <xf numFmtId="0" fontId="0" fillId="0" borderId="17" xfId="0"/>
    <xf numFmtId="14" fontId="3" fillId="0" borderId="17" xfId="0" applyNumberFormat="1" applyFont="1"/>
    <xf numFmtId="0" fontId="3" fillId="0" borderId="17" xfId="0" applyFont="1"/>
    <xf numFmtId="10" fontId="4" fillId="0" borderId="17" xfId="0" applyNumberFormat="1" applyFont="1"/>
    <xf numFmtId="10" fontId="4" fillId="0" borderId="17" xfId="0" applyNumberFormat="1" applyFont="1" applyAlignment="1">
      <alignment horizontal="right"/>
    </xf>
    <xf numFmtId="10" fontId="2" fillId="0" borderId="17" xfId="0" applyNumberFormat="1" applyFont="1"/>
    <xf numFmtId="10" fontId="0" fillId="0" borderId="17" xfId="0" applyNumberFormat="1" applyAlignment="1">
      <alignment horizontal="right"/>
    </xf>
    <xf numFmtId="10" fontId="0" fillId="0" borderId="17" xfId="0" applyNumberFormat="1"/>
    <xf numFmtId="2" fontId="0" fillId="0" borderId="17" xfId="0" applyNumberFormat="1"/>
    <xf numFmtId="0" fontId="4" fillId="0" borderId="17" xfId="0" applyFont="1"/>
    <xf numFmtId="37" fontId="2" fillId="0" borderId="17" xfId="2" applyNumberFormat="1" applyFont="1"/>
    <xf numFmtId="1" fontId="2" fillId="0" borderId="17" xfId="2" applyNumberFormat="1" applyFont="1"/>
    <xf numFmtId="0" fontId="2" fillId="0" borderId="17" xfId="2" applyNumberFormat="1" applyFont="1"/>
    <xf numFmtId="0" fontId="2" fillId="0" borderId="17" xfId="0" applyFont="1"/>
    <xf numFmtId="1" fontId="2" fillId="0" borderId="17" xfId="0" applyNumberFormat="1" applyFont="1"/>
    <xf numFmtId="0" fontId="0" fillId="0" borderId="17" xfId="0" applyAlignment="1">
      <alignment horizontal="right"/>
    </xf>
    <xf numFmtId="0" fontId="2" fillId="0" borderId="17" xfId="0" applyFont="1" applyAlignment="1">
      <alignment horizontal="right"/>
    </xf>
    <xf numFmtId="0" fontId="4" fillId="0" borderId="17" xfId="0" applyFont="1" applyAlignment="1">
      <alignment horizontal="right"/>
    </xf>
    <xf numFmtId="10" fontId="2" fillId="0" borderId="17" xfId="0" applyNumberFormat="1" applyFont="1" applyAlignment="1">
      <alignment horizontal="right"/>
    </xf>
    <xf numFmtId="10" fontId="0" fillId="0" borderId="17" xfId="1" applyNumberFormat="1" applyFont="1" applyAlignment="1">
      <alignment horizontal="right"/>
    </xf>
    <xf numFmtId="0" fontId="0" fillId="0" borderId="18" xfId="0" applyBorder="1"/>
    <xf numFmtId="0" fontId="2" fillId="14" borderId="20" xfId="0" applyFont="1" applyFill="1" applyBorder="1"/>
    <xf numFmtId="0" fontId="2" fillId="15" borderId="20" xfId="0" applyFont="1" applyFill="1" applyBorder="1"/>
    <xf numFmtId="0" fontId="2" fillId="15" borderId="20" xfId="0" applyFont="1" applyFill="1" applyBorder="1" applyAlignment="1">
      <alignment horizontal="right"/>
    </xf>
    <xf numFmtId="0" fontId="2" fillId="15" borderId="21" xfId="0" applyFont="1" applyFill="1" applyBorder="1"/>
    <xf numFmtId="0" fontId="0" fillId="0" borderId="18" xfId="0" applyBorder="1" applyAlignment="1">
      <alignment horizontal="right"/>
    </xf>
    <xf numFmtId="0" fontId="2" fillId="14" borderId="20" xfId="0" applyFont="1" applyFill="1" applyBorder="1" applyAlignment="1">
      <alignment horizontal="right"/>
    </xf>
    <xf numFmtId="10" fontId="0" fillId="16" borderId="17" xfId="0" applyNumberFormat="1" applyFill="1"/>
    <xf numFmtId="10" fontId="14" fillId="17" borderId="19" xfId="0" applyNumberFormat="1" applyFont="1" applyFill="1" applyBorder="1"/>
    <xf numFmtId="10" fontId="2" fillId="16" borderId="17" xfId="0" applyNumberFormat="1" applyFont="1" applyFill="1"/>
    <xf numFmtId="0" fontId="12" fillId="0" borderId="17" xfId="0" applyFont="1"/>
    <xf numFmtId="0" fontId="9" fillId="0" borderId="17" xfId="0" applyFont="1"/>
    <xf numFmtId="0" fontId="0" fillId="2" borderId="17" xfId="0" applyFill="1" applyAlignment="1">
      <alignment horizontal="left"/>
    </xf>
    <xf numFmtId="0" fontId="7" fillId="3" borderId="17" xfId="0" applyFont="1" applyFill="1" applyAlignment="1">
      <alignment horizontal="left"/>
    </xf>
    <xf numFmtId="0" fontId="0" fillId="5" borderId="17" xfId="0" applyFill="1"/>
    <xf numFmtId="0" fontId="0" fillId="7" borderId="17" xfId="0" applyFill="1"/>
    <xf numFmtId="0" fontId="0" fillId="9" borderId="17" xfId="0" applyFill="1"/>
    <xf numFmtId="0" fontId="11" fillId="0" borderId="17" xfId="0" applyFont="1"/>
    <xf numFmtId="0" fontId="5" fillId="0" borderId="17" xfId="0" applyFont="1"/>
    <xf numFmtId="0" fontId="6" fillId="0" borderId="17" xfId="0" applyFont="1"/>
    <xf numFmtId="0" fontId="10" fillId="0" borderId="17" xfId="0" applyFont="1"/>
    <xf numFmtId="0" fontId="10" fillId="0" borderId="17" xfId="0" applyFont="1" applyAlignment="1">
      <alignment horizontal="left"/>
    </xf>
    <xf numFmtId="0" fontId="6" fillId="0" borderId="17" xfId="0" applyFont="1" applyAlignment="1">
      <alignment horizontal="center"/>
    </xf>
    <xf numFmtId="10" fontId="6" fillId="0" borderId="17" xfId="0" applyNumberFormat="1" applyFont="1" applyAlignment="1">
      <alignment horizontal="center"/>
    </xf>
    <xf numFmtId="0" fontId="7" fillId="0" borderId="17" xfId="0" applyFont="1"/>
    <xf numFmtId="14" fontId="3" fillId="13" borderId="17" xfId="0" applyNumberFormat="1" applyFont="1" applyFill="1"/>
    <xf numFmtId="0" fontId="1" fillId="0" borderId="17" xfId="0" applyFont="1"/>
    <xf numFmtId="0" fontId="2" fillId="0" borderId="17" xfId="0" applyFont="1" applyAlignment="1">
      <alignment vertical="center" wrapText="1"/>
    </xf>
  </cellXfs>
  <cellStyles count="3">
    <cellStyle name="Currency" xfId="2" builtinId="4"/>
    <cellStyle name="Normal" xfId="0" builtinId="0"/>
    <cellStyle name="Percent" xfId="1" builtinId="5"/>
  </cellStyles>
  <dxfs count="426"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bottom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numFmt numFmtId="14" formatCode="0.0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numFmt numFmtId="14" formatCode="0.0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numFmt numFmtId="14" formatCode="0.0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  <alignment horizontal="right" vertical="bottom" textRotation="0" wrapText="0" indent="0" justifyLastLine="0" shrinkToFit="0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numFmt numFmtId="14" formatCode="0.0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numFmt numFmtId="14" formatCode="0.0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numFmt numFmtId="14" formatCode="0.0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numFmt numFmtId="14" formatCode="0.0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numFmt numFmtId="14" formatCode="0.0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numFmt numFmtId="14" formatCode="0.0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  <alignment horizontal="right" vertical="bottom" textRotation="0" wrapText="0" indent="0" justifyLastLine="0" shrinkToFit="0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numFmt numFmtId="14" formatCode="0.0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numFmt numFmtId="14" formatCode="0.00%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9" formatCode="m/d/yyyy"/>
      <fill>
        <patternFill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color theme="1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theme="1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theme="1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theme="1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theme="1"/>
      </font>
      <fill>
        <patternFill>
          <fgColor indexed="64"/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9" formatCode="m/d/yyyy"/>
      <fill>
        <patternFill>
          <fgColor rgb="FF000000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4" formatCode="0.00%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4" formatCode="0.00%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4" formatCode="0.00%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4" formatCode="0.00%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4" formatCode="0.00%"/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>
          <fgColor indexed="64"/>
          <bgColor auto="1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9" formatCode="m/d/yyyy"/>
      <fill>
        <patternFill>
          <fgColor rgb="FF000000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bgColor auto="1"/>
        </patternFill>
      </fill>
      <alignment horizontal="center" vertical="bottom"/>
    </dxf>
    <dxf>
      <fill>
        <patternFill>
          <bgColor auto="1"/>
        </patternFill>
      </fill>
    </dxf>
    <dxf>
      <border outline="0">
        <bottom style="thin">
          <color rgb="FF000000"/>
        </bottom>
      </border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/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minor"/>
      </font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NittyGrittySheet!$B$23:$F$23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NittyGrittySheet!$B$24:$F$24</c:f>
              <c:numCache>
                <c:formatCode>0.00%</c:formatCode>
                <c:ptCount val="5"/>
                <c:pt idx="0">
                  <c:v>0.1457</c:v>
                </c:pt>
                <c:pt idx="1">
                  <c:v>0.14940000000000001</c:v>
                </c:pt>
                <c:pt idx="2">
                  <c:v>0.15670000000000001</c:v>
                </c:pt>
                <c:pt idx="3">
                  <c:v>0.15939999999999999</c:v>
                </c:pt>
                <c:pt idx="4">
                  <c:v>0.1666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NittyGrittySheet!$B$26:$F$26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NittyGrittySheet!$B$27:$F$27</c:f>
              <c:numCache>
                <c:formatCode>General</c:formatCode>
                <c:ptCount val="5"/>
                <c:pt idx="0">
                  <c:v>283</c:v>
                </c:pt>
                <c:pt idx="1">
                  <c:v>292</c:v>
                </c:pt>
                <c:pt idx="2">
                  <c:v>305</c:v>
                </c:pt>
                <c:pt idx="3">
                  <c:v>310</c:v>
                </c:pt>
                <c:pt idx="4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NittyGrittySheet!$B$26:$F$26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NittyGrittySheet!$B$28:$F$28</c:f>
              <c:numCache>
                <c:formatCode>General</c:formatCode>
                <c:ptCount val="5"/>
                <c:pt idx="0">
                  <c:v>1081</c:v>
                </c:pt>
                <c:pt idx="1">
                  <c:v>1078</c:v>
                </c:pt>
                <c:pt idx="2">
                  <c:v>1064</c:v>
                </c:pt>
                <c:pt idx="3">
                  <c:v>1060</c:v>
                </c:pt>
                <c:pt idx="4">
                  <c:v>1049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NittyGrittySheet!$B$26:$F$26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NittyGrittySheet!$B$30:$F$30</c:f>
              <c:numCache>
                <c:formatCode>General</c:formatCode>
                <c:ptCount val="5"/>
                <c:pt idx="0">
                  <c:v>579</c:v>
                </c:pt>
                <c:pt idx="1">
                  <c:v>585</c:v>
                </c:pt>
                <c:pt idx="2">
                  <c:v>578</c:v>
                </c:pt>
                <c:pt idx="3">
                  <c:v>575</c:v>
                </c:pt>
                <c:pt idx="4">
                  <c:v>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NittyGrittySheet!$B$26:$F$26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NittyGrittySheet!$B$29:$F$29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NittyGrittySheet!$B$26:$F$26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NittyGrittySheet!$B$31:$F$31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47</c:v>
                      </c:pt>
                      <c:pt idx="1">
                        <c:v>47</c:v>
                      </c:pt>
                      <c:pt idx="2">
                        <c:v>49</c:v>
                      </c:pt>
                      <c:pt idx="3">
                        <c:v>49</c:v>
                      </c:pt>
                      <c:pt idx="4">
                        <c:v>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NittyGrittySheet!$B$26:$F$26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NittyGrittySheet!$B$32:$F$32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NittyGrittySheet!$B$26:$F$26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NittyGrittySheet!$B$33:$F$33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48</c:v>
                      </c:pt>
                      <c:pt idx="1">
                        <c:v>47</c:v>
                      </c:pt>
                      <c:pt idx="2">
                        <c:v>47</c:v>
                      </c:pt>
                      <c:pt idx="3">
                        <c:v>46</c:v>
                      </c:pt>
                      <c:pt idx="4">
                        <c:v>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NittyGrittySheet!$B$26:$F$26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NittyGrittySheet!$B$34:$F$34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11</c:v>
                      </c:pt>
                      <c:pt idx="4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NittyGrittySheet!$B$26:$F$26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NittyGrittySheet!$B$35:$F$35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</c:v>
                      </c:pt>
                      <c:pt idx="1">
                        <c:v>7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NittyGrittySheet!$B$26:$F$26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NittyGrittySheet!$B$36:$F$36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79</c:v>
                      </c:pt>
                      <c:pt idx="1">
                        <c:v>79</c:v>
                      </c:pt>
                      <c:pt idx="2">
                        <c:v>79</c:v>
                      </c:pt>
                      <c:pt idx="3">
                        <c:v>80</c:v>
                      </c:pt>
                      <c:pt idx="4">
                        <c:v>80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NittyGrittySheet!$B$26:$F$26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NittyGrittySheet!$B$37:$F$37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2150</c:v>
                      </c:pt>
                      <c:pt idx="1">
                        <c:v>2161</c:v>
                      </c:pt>
                      <c:pt idx="2">
                        <c:v>2156</c:v>
                      </c:pt>
                      <c:pt idx="3">
                        <c:v>2154</c:v>
                      </c:pt>
                      <c:pt idx="4">
                        <c:v>2153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</c:v>
                </c:pt>
                <c:pt idx="1">
                  <c:v>0.1512309495896835</c:v>
                </c:pt>
                <c:pt idx="2">
                  <c:v>0.22743259085580311</c:v>
                </c:pt>
                <c:pt idx="3">
                  <c:v>0.27432590855803052</c:v>
                </c:pt>
                <c:pt idx="4">
                  <c:v>0.33470105509964831</c:v>
                </c:pt>
                <c:pt idx="5">
                  <c:v>0.44619999999999999</c:v>
                </c:pt>
                <c:pt idx="6">
                  <c:v>0.50580000000000003</c:v>
                </c:pt>
                <c:pt idx="7">
                  <c:v>0.59409999999999996</c:v>
                </c:pt>
                <c:pt idx="8">
                  <c:v>0.71630000000000005</c:v>
                </c:pt>
                <c:pt idx="9">
                  <c:v>0.7913</c:v>
                </c:pt>
                <c:pt idx="10">
                  <c:v>0.87049999999999994</c:v>
                </c:pt>
                <c:pt idx="11">
                  <c:v>0.94110000000000005</c:v>
                </c:pt>
                <c:pt idx="12">
                  <c:v>0.95239999999999991</c:v>
                </c:pt>
                <c:pt idx="13">
                  <c:v>0.95599999999999996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0.14149999999999999</c:v>
                </c:pt>
                <c:pt idx="2">
                  <c:v>0.21360000000000001</c:v>
                </c:pt>
                <c:pt idx="3">
                  <c:v>0.2873</c:v>
                </c:pt>
                <c:pt idx="4">
                  <c:v>0.31690000000000002</c:v>
                </c:pt>
                <c:pt idx="5">
                  <c:v>0.4466</c:v>
                </c:pt>
                <c:pt idx="6">
                  <c:v>0.52459999999999996</c:v>
                </c:pt>
                <c:pt idx="7">
                  <c:v>0.61780000000000002</c:v>
                </c:pt>
                <c:pt idx="8">
                  <c:v>0.70589999999999997</c:v>
                </c:pt>
                <c:pt idx="9">
                  <c:v>0.77290000000000003</c:v>
                </c:pt>
                <c:pt idx="10">
                  <c:v>0.82289999999999996</c:v>
                </c:pt>
                <c:pt idx="11">
                  <c:v>0.89580000000000004</c:v>
                </c:pt>
                <c:pt idx="12">
                  <c:v>0.93140000000000001</c:v>
                </c:pt>
                <c:pt idx="13">
                  <c:v>0.95589999999999997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0.19089999999999999</c:v>
                </c:pt>
                <c:pt idx="2">
                  <c:v>0.28000000000000003</c:v>
                </c:pt>
                <c:pt idx="3">
                  <c:v>0.32729999999999998</c:v>
                </c:pt>
                <c:pt idx="4">
                  <c:v>0.38819999999999999</c:v>
                </c:pt>
                <c:pt idx="5">
                  <c:v>0.48359999999999997</c:v>
                </c:pt>
                <c:pt idx="6">
                  <c:v>0.56359999999999999</c:v>
                </c:pt>
                <c:pt idx="7">
                  <c:v>0.64180000000000004</c:v>
                </c:pt>
                <c:pt idx="8">
                  <c:v>0.72270000000000001</c:v>
                </c:pt>
                <c:pt idx="9">
                  <c:v>0.77180000000000004</c:v>
                </c:pt>
                <c:pt idx="10">
                  <c:v>0.82089999999999996</c:v>
                </c:pt>
                <c:pt idx="11">
                  <c:v>0.93089999999999995</c:v>
                </c:pt>
                <c:pt idx="12">
                  <c:v>0.94179999999999997</c:v>
                </c:pt>
                <c:pt idx="13">
                  <c:v>0.94359999999999999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8.5999999999999993E-2</c:v>
                </c:pt>
                <c:pt idx="1">
                  <c:v>0.1196</c:v>
                </c:pt>
                <c:pt idx="2">
                  <c:v>0.215</c:v>
                </c:pt>
                <c:pt idx="3">
                  <c:v>0.32800000000000001</c:v>
                </c:pt>
                <c:pt idx="4">
                  <c:v>0.35980000000000001</c:v>
                </c:pt>
                <c:pt idx="5">
                  <c:v>0.40839999999999999</c:v>
                </c:pt>
                <c:pt idx="6">
                  <c:v>0.46820000000000001</c:v>
                </c:pt>
                <c:pt idx="7">
                  <c:v>0.60929999999999995</c:v>
                </c:pt>
                <c:pt idx="8">
                  <c:v>0.68410000000000004</c:v>
                </c:pt>
                <c:pt idx="9">
                  <c:v>0.8</c:v>
                </c:pt>
                <c:pt idx="10">
                  <c:v>0.85609999999999997</c:v>
                </c:pt>
                <c:pt idx="11">
                  <c:v>0.92059999999999997</c:v>
                </c:pt>
                <c:pt idx="12">
                  <c:v>0.93179999999999996</c:v>
                </c:pt>
                <c:pt idx="13">
                  <c:v>0.94110000000000005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0.29549999999999998</c:v>
                </c:pt>
                <c:pt idx="3">
                  <c:v>0.36899999999999999</c:v>
                </c:pt>
                <c:pt idx="4">
                  <c:v>0.40799999999999997</c:v>
                </c:pt>
                <c:pt idx="5">
                  <c:v>0.4572</c:v>
                </c:pt>
                <c:pt idx="6">
                  <c:v>0.57430000000000003</c:v>
                </c:pt>
                <c:pt idx="7">
                  <c:v>0.69699999999999995</c:v>
                </c:pt>
                <c:pt idx="8">
                  <c:v>0.7742</c:v>
                </c:pt>
                <c:pt idx="9">
                  <c:v>0.82430000000000003</c:v>
                </c:pt>
                <c:pt idx="10">
                  <c:v>0.87270000000000003</c:v>
                </c:pt>
                <c:pt idx="11">
                  <c:v>0.96560000000000001</c:v>
                </c:pt>
                <c:pt idx="12">
                  <c:v>0.97030000000000005</c:v>
                </c:pt>
                <c:pt idx="13">
                  <c:v>0.97399999999999998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  <c:pt idx="1">
                  <c:v>0.15670000000000001</c:v>
                </c:pt>
                <c:pt idx="2">
                  <c:v>0.1666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0.29360000000000003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0.52129999999999999</c:v>
                </c:pt>
                <c:pt idx="7">
                  <c:v>0.61180000000000001</c:v>
                </c:pt>
                <c:pt idx="8">
                  <c:v>0.8871</c:v>
                </c:pt>
                <c:pt idx="9">
                  <c:v>0.96609999999999996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0.33333333333333331</c:v>
                </c:pt>
                <c:pt idx="2">
                  <c:v>0.37878787878787878</c:v>
                </c:pt>
                <c:pt idx="3">
                  <c:v>0.42424242424242431</c:v>
                </c:pt>
                <c:pt idx="4">
                  <c:v>0.45454545454545447</c:v>
                </c:pt>
                <c:pt idx="5">
                  <c:v>0.53030303030303028</c:v>
                </c:pt>
                <c:pt idx="6">
                  <c:v>0.66666666666666663</c:v>
                </c:pt>
                <c:pt idx="7">
                  <c:v>0.78787878787878785</c:v>
                </c:pt>
                <c:pt idx="8">
                  <c:v>0.89393939393939392</c:v>
                </c:pt>
                <c:pt idx="9">
                  <c:v>0.96969696969696972</c:v>
                </c:pt>
                <c:pt idx="10">
                  <c:v>0.96969696969696972</c:v>
                </c:pt>
                <c:pt idx="11">
                  <c:v>0.98484848484848486</c:v>
                </c:pt>
                <c:pt idx="12">
                  <c:v>0.98484848484848486</c:v>
                </c:pt>
                <c:pt idx="13">
                  <c:v>0.98484848484848486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0.17391304347826089</c:v>
                </c:pt>
                <c:pt idx="1">
                  <c:v>0.33333333333333331</c:v>
                </c:pt>
                <c:pt idx="2">
                  <c:v>0.44927536231884058</c:v>
                </c:pt>
                <c:pt idx="3">
                  <c:v>0.52173913043478259</c:v>
                </c:pt>
                <c:pt idx="4">
                  <c:v>0.59420289855072461</c:v>
                </c:pt>
                <c:pt idx="5">
                  <c:v>0.62318840579710144</c:v>
                </c:pt>
                <c:pt idx="6">
                  <c:v>0.72463768115942029</c:v>
                </c:pt>
                <c:pt idx="7">
                  <c:v>0.79710144927536231</c:v>
                </c:pt>
                <c:pt idx="8">
                  <c:v>0.91304347826086951</c:v>
                </c:pt>
                <c:pt idx="9">
                  <c:v>0.94202898550724634</c:v>
                </c:pt>
                <c:pt idx="10">
                  <c:v>0.98550724637681164</c:v>
                </c:pt>
                <c:pt idx="11">
                  <c:v>0.98550724637681164</c:v>
                </c:pt>
                <c:pt idx="12">
                  <c:v>0.98550724637681164</c:v>
                </c:pt>
                <c:pt idx="13">
                  <c:v>0.98550724637681164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7.3529411764705885E-2</c:v>
                </c:pt>
                <c:pt idx="1">
                  <c:v>8.8235294117647065E-2</c:v>
                </c:pt>
                <c:pt idx="2">
                  <c:v>0.1470588235294118</c:v>
                </c:pt>
                <c:pt idx="3">
                  <c:v>0.23529411764705879</c:v>
                </c:pt>
                <c:pt idx="4">
                  <c:v>0.3235294117647059</c:v>
                </c:pt>
                <c:pt idx="5">
                  <c:v>0.38235294117647062</c:v>
                </c:pt>
                <c:pt idx="6">
                  <c:v>0.48529411764705882</c:v>
                </c:pt>
                <c:pt idx="7">
                  <c:v>0.86764705882352944</c:v>
                </c:pt>
                <c:pt idx="8">
                  <c:v>0.94117647058823528</c:v>
                </c:pt>
                <c:pt idx="9">
                  <c:v>0.94117647058823528</c:v>
                </c:pt>
                <c:pt idx="10">
                  <c:v>0.95588235294117652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8.2191780821917804E-2</c:v>
                </c:pt>
                <c:pt idx="1">
                  <c:v>0.20547945205479451</c:v>
                </c:pt>
                <c:pt idx="2">
                  <c:v>0.26027397260273971</c:v>
                </c:pt>
                <c:pt idx="3">
                  <c:v>0.31506849315068491</c:v>
                </c:pt>
                <c:pt idx="4">
                  <c:v>0.34246575342465752</c:v>
                </c:pt>
                <c:pt idx="5">
                  <c:v>0.36986301369863012</c:v>
                </c:pt>
                <c:pt idx="6">
                  <c:v>0.57534246575342463</c:v>
                </c:pt>
                <c:pt idx="7">
                  <c:v>0.82191780821917804</c:v>
                </c:pt>
                <c:pt idx="8">
                  <c:v>0.95890410958904104</c:v>
                </c:pt>
                <c:pt idx="9">
                  <c:v>0.95890410958904104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  <c:pt idx="0">
                  <c:v>7.5899999999999995E-2</c:v>
                </c:pt>
                <c:pt idx="1">
                  <c:v>0.13700000000000001</c:v>
                </c:pt>
                <c:pt idx="2">
                  <c:v>0.1419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NittyGrittySheet!$B$40:$F$40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NittyGrittySheet!$B$41:$F$41</c:f>
              <c:numCache>
                <c:formatCode>0.00%</c:formatCode>
                <c:ptCount val="5"/>
                <c:pt idx="0">
                  <c:v>0.1293</c:v>
                </c:pt>
                <c:pt idx="1">
                  <c:v>0.1293</c:v>
                </c:pt>
                <c:pt idx="2">
                  <c:v>0.13700000000000001</c:v>
                </c:pt>
                <c:pt idx="3">
                  <c:v>0.13700000000000001</c:v>
                </c:pt>
                <c:pt idx="4">
                  <c:v>0.1419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NittyGrittySheet!$B$43:$F$43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NittyGrittySheet!$B$44:$F$44</c:f>
              <c:numCache>
                <c:formatCode>General</c:formatCode>
                <c:ptCount val="5"/>
                <c:pt idx="0">
                  <c:v>19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NittyGrittySheet!$B$43:$F$43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NittyGrittySheet!$B$45:$F$45</c:f>
              <c:numCache>
                <c:formatCode>General</c:formatCode>
                <c:ptCount val="5"/>
                <c:pt idx="0">
                  <c:v>93</c:v>
                </c:pt>
                <c:pt idx="1">
                  <c:v>94</c:v>
                </c:pt>
                <c:pt idx="2">
                  <c:v>92</c:v>
                </c:pt>
                <c:pt idx="3">
                  <c:v>92</c:v>
                </c:pt>
                <c:pt idx="4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NittyGrittySheet!$B$43:$F$43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NittyGrittySheet!$B$47:$F$47</c:f>
              <c:numCache>
                <c:formatCode>General</c:formatCode>
                <c:ptCount val="5"/>
                <c:pt idx="0">
                  <c:v>35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NittyGrittySheet!$B$43:$F$43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NittyGrittySheet!$B$46:$F$46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NittyGrittySheet!$B$43:$F$43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NittyGrittySheet!$B$48:$F$48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NittyGrittySheet!$B$43:$F$43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NittyGrittySheet!$B$49:$F$49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NittyGrittySheet!$B$43:$F$43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NittyGrittySheet!$B$50:$F$50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NittyGrittySheet!$B$43:$F$43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NittyGrittySheet!$B$51:$F$51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NittyGrittySheet!$B$43:$F$43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NittyGrittySheet!$B$52:$F$52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NittyGrittySheet!$B$43:$F$43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NittyGrittySheet!$B$53:$F$53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NittyGrittySheet!$B$43:$F$43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NittyGrittySheet!$B$54:$F$54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157</c:v>
                      </c:pt>
                      <c:pt idx="1">
                        <c:v>157</c:v>
                      </c:pt>
                      <c:pt idx="2">
                        <c:v>157</c:v>
                      </c:pt>
                      <c:pt idx="3">
                        <c:v>157</c:v>
                      </c:pt>
                      <c:pt idx="4">
                        <c:v>159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0.12790000000000001</c:v>
                </c:pt>
                <c:pt idx="3">
                  <c:v>0.13769999999999999</c:v>
                </c:pt>
                <c:pt idx="4">
                  <c:v>0.17680000000000001</c:v>
                </c:pt>
                <c:pt idx="5">
                  <c:v>0.18629999999999999</c:v>
                </c:pt>
                <c:pt idx="6">
                  <c:v>0.19109999999999999</c:v>
                </c:pt>
                <c:pt idx="7">
                  <c:v>0.30919999999999997</c:v>
                </c:pt>
                <c:pt idx="8">
                  <c:v>0.53280000000000005</c:v>
                </c:pt>
                <c:pt idx="9">
                  <c:v>0.67480000000000007</c:v>
                </c:pt>
                <c:pt idx="10">
                  <c:v>0.84209999999999996</c:v>
                </c:pt>
                <c:pt idx="11">
                  <c:v>0.90180000000000005</c:v>
                </c:pt>
                <c:pt idx="12">
                  <c:v>0.93579999999999997</c:v>
                </c:pt>
                <c:pt idx="13">
                  <c:v>0.92730000000000001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6.25E-2</c:v>
                </c:pt>
                <c:pt idx="1">
                  <c:v>6.25E-2</c:v>
                </c:pt>
                <c:pt idx="2">
                  <c:v>6.25E-2</c:v>
                </c:pt>
                <c:pt idx="3">
                  <c:v>8.7499999999999994E-2</c:v>
                </c:pt>
                <c:pt idx="4">
                  <c:v>0.1125</c:v>
                </c:pt>
                <c:pt idx="5">
                  <c:v>0.25</c:v>
                </c:pt>
                <c:pt idx="6">
                  <c:v>0.28749999999999998</c:v>
                </c:pt>
                <c:pt idx="7">
                  <c:v>0.28749999999999998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0.97499999999999998</c:v>
                </c:pt>
                <c:pt idx="12">
                  <c:v>0.97499999999999998</c:v>
                </c:pt>
                <c:pt idx="13">
                  <c:v>0.98750000000000004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6.1728395061728392E-2</c:v>
                </c:pt>
                <c:pt idx="1">
                  <c:v>8.6419753086419748E-2</c:v>
                </c:pt>
                <c:pt idx="2">
                  <c:v>0.1234567901234568</c:v>
                </c:pt>
                <c:pt idx="3">
                  <c:v>0.16049382716049379</c:v>
                </c:pt>
                <c:pt idx="4">
                  <c:v>0.16049382716049379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0.27160493827160492</c:v>
                </c:pt>
                <c:pt idx="8">
                  <c:v>0.37037037037037029</c:v>
                </c:pt>
                <c:pt idx="9">
                  <c:v>0.4567901234567901</c:v>
                </c:pt>
                <c:pt idx="10">
                  <c:v>0.51851851851851849</c:v>
                </c:pt>
                <c:pt idx="11">
                  <c:v>0.75308641975308643</c:v>
                </c:pt>
                <c:pt idx="12">
                  <c:v>0.79012345679012341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5.8823529411764712E-2</c:v>
                </c:pt>
                <c:pt idx="1">
                  <c:v>7.3529411764705885E-2</c:v>
                </c:pt>
                <c:pt idx="2">
                  <c:v>0.1176470588235294</c:v>
                </c:pt>
                <c:pt idx="3">
                  <c:v>0.13235294117647059</c:v>
                </c:pt>
                <c:pt idx="4">
                  <c:v>0.16176470588235289</c:v>
                </c:pt>
                <c:pt idx="5">
                  <c:v>0.19117647058823531</c:v>
                </c:pt>
                <c:pt idx="6">
                  <c:v>0.23529411764705879</c:v>
                </c:pt>
                <c:pt idx="7">
                  <c:v>0.3235294117647059</c:v>
                </c:pt>
                <c:pt idx="8">
                  <c:v>0.41176470588235292</c:v>
                </c:pt>
                <c:pt idx="9">
                  <c:v>0.52941176470588236</c:v>
                </c:pt>
                <c:pt idx="10">
                  <c:v>0.57352941176470584</c:v>
                </c:pt>
                <c:pt idx="11">
                  <c:v>0.8970588235294118</c:v>
                </c:pt>
                <c:pt idx="12">
                  <c:v>0.92647058823529416</c:v>
                </c:pt>
                <c:pt idx="13">
                  <c:v>0.95588235294117652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  <c:pt idx="0">
                  <c:v>4.2299999999999997E-2</c:v>
                </c:pt>
                <c:pt idx="1">
                  <c:v>5.2600000000000001E-2</c:v>
                </c:pt>
                <c:pt idx="2">
                  <c:v>5.2600000000000001E-2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NittyGrittySheet!$B$57:$F$57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NittyGrittySheet!$B$58:$F$58</c:f>
              <c:numCache>
                <c:formatCode>0.00%</c:formatCode>
                <c:ptCount val="5"/>
                <c:pt idx="0">
                  <c:v>4.7600000000000003E-2</c:v>
                </c:pt>
                <c:pt idx="1">
                  <c:v>5.2600000000000001E-2</c:v>
                </c:pt>
                <c:pt idx="2">
                  <c:v>5.2600000000000001E-2</c:v>
                </c:pt>
                <c:pt idx="3">
                  <c:v>5.2600000000000001E-2</c:v>
                </c:pt>
                <c:pt idx="4">
                  <c:v>5.2600000000000001E-2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NittyGrittySheet!$B$60:$F$60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NittyGrittySheet!$B$61:$F$61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NittyGrittySheet!$B$60:$F$60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NittyGrittySheet!$B$62:$F$62</c:f>
              <c:numCache>
                <c:formatCode>General</c:formatCode>
                <c:ptCount val="5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NittyGrittySheet!$B$60:$F$60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NittyGrittySheet!$B$64:$F$64</c:f>
              <c:numCache>
                <c:formatCode>General</c:formatCode>
                <c:ptCount val="5"/>
                <c:pt idx="0">
                  <c:v>158</c:v>
                </c:pt>
                <c:pt idx="1">
                  <c:v>158</c:v>
                </c:pt>
                <c:pt idx="2">
                  <c:v>158</c:v>
                </c:pt>
                <c:pt idx="3">
                  <c:v>158</c:v>
                </c:pt>
                <c:pt idx="4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NittyGrittySheet!$B$60:$F$60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NittyGrittySheet!$B$63:$F$63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NittyGrittySheet!$B$60:$F$60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NittyGrittySheet!$B$65:$F$65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NittyGrittySheet!$B$60:$F$60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NittyGrittySheet!$B$66:$F$66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NittyGrittySheet!$B$60:$F$60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NittyGrittySheet!$B$67:$F$67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NittyGrittySheet!$B$60:$F$60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NittyGrittySheet!$B$68:$F$68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NittyGrittySheet!$B$60:$F$60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NittyGrittySheet!$B$69:$F$69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NittyGrittySheet!$B$60:$F$60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NittyGrittySheet!$B$70:$F$70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NittyGrittySheet!$B$60:$F$60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NittyGrittySheet!$B$71:$F$71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194</c:v>
                      </c:pt>
                      <c:pt idx="1">
                        <c:v>194</c:v>
                      </c:pt>
                      <c:pt idx="2">
                        <c:v>194</c:v>
                      </c:pt>
                      <c:pt idx="3">
                        <c:v>194</c:v>
                      </c:pt>
                      <c:pt idx="4">
                        <c:v>194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0.15870000000000001</c:v>
                </c:pt>
                <c:pt idx="3">
                  <c:v>0.1406</c:v>
                </c:pt>
                <c:pt idx="4">
                  <c:v>0.1739</c:v>
                </c:pt>
                <c:pt idx="5">
                  <c:v>0.22389999999999999</c:v>
                </c:pt>
                <c:pt idx="6">
                  <c:v>0.2273</c:v>
                </c:pt>
                <c:pt idx="7">
                  <c:v>0.2424</c:v>
                </c:pt>
                <c:pt idx="8">
                  <c:v>0.28570000000000001</c:v>
                </c:pt>
                <c:pt idx="9">
                  <c:v>0.35089999999999999</c:v>
                </c:pt>
                <c:pt idx="10">
                  <c:v>0.5333</c:v>
                </c:pt>
                <c:pt idx="11">
                  <c:v>0.9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0.22727272727272729</c:v>
                </c:pt>
                <c:pt idx="1">
                  <c:v>0.22727272727272729</c:v>
                </c:pt>
                <c:pt idx="2">
                  <c:v>0.22727272727272729</c:v>
                </c:pt>
                <c:pt idx="3">
                  <c:v>0.22727272727272729</c:v>
                </c:pt>
                <c:pt idx="4">
                  <c:v>0.22727272727272729</c:v>
                </c:pt>
                <c:pt idx="5">
                  <c:v>0.40909090909090912</c:v>
                </c:pt>
                <c:pt idx="6">
                  <c:v>0.45454545454545447</c:v>
                </c:pt>
                <c:pt idx="7">
                  <c:v>0.59090909090909094</c:v>
                </c:pt>
                <c:pt idx="8">
                  <c:v>0.59090909090909094</c:v>
                </c:pt>
                <c:pt idx="9">
                  <c:v>0.63636363636363635</c:v>
                </c:pt>
                <c:pt idx="10">
                  <c:v>0.63636363636363635</c:v>
                </c:pt>
                <c:pt idx="11">
                  <c:v>0.68181818181818177</c:v>
                </c:pt>
                <c:pt idx="12">
                  <c:v>0.95454545454545459</c:v>
                </c:pt>
                <c:pt idx="13">
                  <c:v>0.95454545454545459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0.28000000000000003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0.15789473684210531</c:v>
                </c:pt>
                <c:pt idx="1">
                  <c:v>0.15789473684210531</c:v>
                </c:pt>
                <c:pt idx="2">
                  <c:v>0.26315789473684209</c:v>
                </c:pt>
                <c:pt idx="3">
                  <c:v>0.26315789473684209</c:v>
                </c:pt>
                <c:pt idx="4">
                  <c:v>0.26315789473684209</c:v>
                </c:pt>
                <c:pt idx="5">
                  <c:v>0.26315789473684209</c:v>
                </c:pt>
                <c:pt idx="6">
                  <c:v>0.26315789473684209</c:v>
                </c:pt>
                <c:pt idx="7">
                  <c:v>0.26315789473684209</c:v>
                </c:pt>
                <c:pt idx="8">
                  <c:v>0.26315789473684209</c:v>
                </c:pt>
                <c:pt idx="9">
                  <c:v>0.26315789473684209</c:v>
                </c:pt>
                <c:pt idx="10">
                  <c:v>0.31578947368421051</c:v>
                </c:pt>
                <c:pt idx="11">
                  <c:v>0.78947368421052633</c:v>
                </c:pt>
                <c:pt idx="12">
                  <c:v>0.78947368421052633</c:v>
                </c:pt>
                <c:pt idx="13">
                  <c:v>0.78947368421052633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  <c:pt idx="0">
                  <c:v>0.19670000000000001</c:v>
                </c:pt>
                <c:pt idx="1">
                  <c:v>0.2203</c:v>
                </c:pt>
                <c:pt idx="2">
                  <c:v>0.2203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NittyGrittySheet!$B$74:$F$74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NittyGrittySheet!$B$75:$F$75</c:f>
              <c:numCache>
                <c:formatCode>0.00%</c:formatCode>
                <c:ptCount val="5"/>
                <c:pt idx="0">
                  <c:v>0.2203</c:v>
                </c:pt>
                <c:pt idx="1">
                  <c:v>0.2203</c:v>
                </c:pt>
                <c:pt idx="2">
                  <c:v>0.2203</c:v>
                </c:pt>
                <c:pt idx="3">
                  <c:v>0.2203</c:v>
                </c:pt>
                <c:pt idx="4">
                  <c:v>0.2203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NittyGrittySheet!$B$77:$F$77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NittyGrittySheet!$B$78:$F$78</c:f>
              <c:numCache>
                <c:formatCode>General</c:formatCode>
                <c:ptCount val="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NittyGrittySheet!$B$77:$F$77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NittyGrittySheet!$B$79:$F$79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NittyGrittySheet!$B$77:$F$77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NittyGrittySheet!$B$81:$F$81</c:f>
              <c:numCache>
                <c:formatCode>General</c:formatCode>
                <c:ptCount val="5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NittyGrittySheet!$B$77:$F$77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NittyGrittySheet!$B$80:$F$80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NittyGrittySheet!$B$77:$F$77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NittyGrittySheet!$B$82:$F$82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NittyGrittySheet!$B$77:$F$77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NittyGrittySheet!$B$83:$F$83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NittyGrittySheet!$B$77:$F$77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NittyGrittySheet!$B$84:$F$84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NittyGrittySheet!$B$77:$F$77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NittyGrittySheet!$B$85:$F$85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NittyGrittySheet!$B$77:$F$77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NittyGrittySheet!$B$86:$F$86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NittyGrittySheet!$B$77:$F$77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NittyGrittySheet!$B$87:$F$87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33</c:v>
                      </c:pt>
                      <c:pt idx="1">
                        <c:v>33</c:v>
                      </c:pt>
                      <c:pt idx="2">
                        <c:v>33</c:v>
                      </c:pt>
                      <c:pt idx="3">
                        <c:v>33</c:v>
                      </c:pt>
                      <c:pt idx="4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NittyGrittySheet!$B$77:$F$77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NittyGrittySheet!$B$88:$F$88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94</c:v>
                      </c:pt>
                      <c:pt idx="1">
                        <c:v>94</c:v>
                      </c:pt>
                      <c:pt idx="2">
                        <c:v>94</c:v>
                      </c:pt>
                      <c:pt idx="3">
                        <c:v>94</c:v>
                      </c:pt>
                      <c:pt idx="4">
                        <c:v>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0.42509999999999998</c:v>
                </c:pt>
                <c:pt idx="4">
                  <c:v>0.53649999999999998</c:v>
                </c:pt>
                <c:pt idx="5">
                  <c:v>0.62450000000000006</c:v>
                </c:pt>
                <c:pt idx="6">
                  <c:v>0.69330000000000003</c:v>
                </c:pt>
                <c:pt idx="7">
                  <c:v>0.7944</c:v>
                </c:pt>
                <c:pt idx="8">
                  <c:v>0.88349999999999995</c:v>
                </c:pt>
                <c:pt idx="9">
                  <c:v>0.9104000000000001</c:v>
                </c:pt>
                <c:pt idx="10">
                  <c:v>0.93230000000000002</c:v>
                </c:pt>
                <c:pt idx="11">
                  <c:v>0.96840000000000004</c:v>
                </c:pt>
                <c:pt idx="12">
                  <c:v>0.96840000000000004</c:v>
                </c:pt>
                <c:pt idx="13">
                  <c:v>0.96840000000000004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7.8787878787878782E-2</c:v>
                </c:pt>
                <c:pt idx="1">
                  <c:v>0.14545454545454539</c:v>
                </c:pt>
                <c:pt idx="2">
                  <c:v>0.38787878787878788</c:v>
                </c:pt>
                <c:pt idx="3">
                  <c:v>0.45454545454545447</c:v>
                </c:pt>
                <c:pt idx="4">
                  <c:v>0.50303030303030305</c:v>
                </c:pt>
                <c:pt idx="5">
                  <c:v>0.5757575757575758</c:v>
                </c:pt>
                <c:pt idx="6">
                  <c:v>0.61212121212121207</c:v>
                </c:pt>
                <c:pt idx="7">
                  <c:v>0.68484848484848482</c:v>
                </c:pt>
                <c:pt idx="8">
                  <c:v>0.80606060606060603</c:v>
                </c:pt>
                <c:pt idx="9">
                  <c:v>0.87878787878787878</c:v>
                </c:pt>
                <c:pt idx="10">
                  <c:v>0.89090909090909087</c:v>
                </c:pt>
                <c:pt idx="11">
                  <c:v>0.96363636363636362</c:v>
                </c:pt>
                <c:pt idx="12">
                  <c:v>0.96363636363636362</c:v>
                </c:pt>
                <c:pt idx="13">
                  <c:v>0.97575757575757571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6.4705882352941183E-2</c:v>
                </c:pt>
                <c:pt idx="1">
                  <c:v>0.1058823529411765</c:v>
                </c:pt>
                <c:pt idx="2">
                  <c:v>0.31764705882352939</c:v>
                </c:pt>
                <c:pt idx="3">
                  <c:v>0.35882352941176471</c:v>
                </c:pt>
                <c:pt idx="4">
                  <c:v>0.42352941176470588</c:v>
                </c:pt>
                <c:pt idx="5">
                  <c:v>0.54705882352941182</c:v>
                </c:pt>
                <c:pt idx="6">
                  <c:v>0.62941176470588234</c:v>
                </c:pt>
                <c:pt idx="7">
                  <c:v>0.71176470588235297</c:v>
                </c:pt>
                <c:pt idx="8">
                  <c:v>0.77058823529411768</c:v>
                </c:pt>
                <c:pt idx="9">
                  <c:v>0.8294117647058824</c:v>
                </c:pt>
                <c:pt idx="10">
                  <c:v>0.88823529411764701</c:v>
                </c:pt>
                <c:pt idx="11">
                  <c:v>0.95882352941176474</c:v>
                </c:pt>
                <c:pt idx="12">
                  <c:v>0.97647058823529409</c:v>
                </c:pt>
                <c:pt idx="13">
                  <c:v>0.97647058823529409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</c:v>
                </c:pt>
                <c:pt idx="1">
                  <c:v>0.14634146341463411</c:v>
                </c:pt>
                <c:pt idx="2">
                  <c:v>0.28048780487804881</c:v>
                </c:pt>
                <c:pt idx="3">
                  <c:v>0.53048780487804881</c:v>
                </c:pt>
                <c:pt idx="4">
                  <c:v>0.54268292682926833</c:v>
                </c:pt>
                <c:pt idx="5">
                  <c:v>0.58536585365853655</c:v>
                </c:pt>
                <c:pt idx="6">
                  <c:v>0.67682926829268297</c:v>
                </c:pt>
                <c:pt idx="7">
                  <c:v>0.75609756097560976</c:v>
                </c:pt>
                <c:pt idx="8">
                  <c:v>0.80487804878048785</c:v>
                </c:pt>
                <c:pt idx="9">
                  <c:v>0.83536585365853655</c:v>
                </c:pt>
                <c:pt idx="10">
                  <c:v>0.89634146341463417</c:v>
                </c:pt>
                <c:pt idx="11">
                  <c:v>0.95731707317073167</c:v>
                </c:pt>
                <c:pt idx="12">
                  <c:v>0.96951219512195119</c:v>
                </c:pt>
                <c:pt idx="13">
                  <c:v>0.98170731707317072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0.16770186335403731</c:v>
                </c:pt>
                <c:pt idx="1">
                  <c:v>0.2608695652173913</c:v>
                </c:pt>
                <c:pt idx="2">
                  <c:v>0.36645962732919263</c:v>
                </c:pt>
                <c:pt idx="3">
                  <c:v>0.43478260869565222</c:v>
                </c:pt>
                <c:pt idx="4">
                  <c:v>0.48447204968944102</c:v>
                </c:pt>
                <c:pt idx="5">
                  <c:v>0.52795031055900621</c:v>
                </c:pt>
                <c:pt idx="6">
                  <c:v>0.70807453416149069</c:v>
                </c:pt>
                <c:pt idx="7">
                  <c:v>0.81366459627329191</c:v>
                </c:pt>
                <c:pt idx="8">
                  <c:v>0.86956521739130432</c:v>
                </c:pt>
                <c:pt idx="9">
                  <c:v>0.90683229813664601</c:v>
                </c:pt>
                <c:pt idx="10">
                  <c:v>0.93788819875776397</c:v>
                </c:pt>
                <c:pt idx="11">
                  <c:v>0.97515527950310554</c:v>
                </c:pt>
                <c:pt idx="12">
                  <c:v>0.97515527950310554</c:v>
                </c:pt>
                <c:pt idx="13">
                  <c:v>0.97515527950310554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  <c:pt idx="0">
                  <c:v>0.1103</c:v>
                </c:pt>
                <c:pt idx="1">
                  <c:v>0.23880000000000001</c:v>
                </c:pt>
                <c:pt idx="2">
                  <c:v>0.26889999999999997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NittyGrittySheet!$B$91:$F$91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NittyGrittySheet!$B$92:$F$92</c:f>
              <c:numCache>
                <c:formatCode>0.00%</c:formatCode>
                <c:ptCount val="5"/>
                <c:pt idx="0">
                  <c:v>0.20150000000000001</c:v>
                </c:pt>
                <c:pt idx="1">
                  <c:v>0.2132</c:v>
                </c:pt>
                <c:pt idx="2">
                  <c:v>0.23880000000000001</c:v>
                </c:pt>
                <c:pt idx="3">
                  <c:v>0.24809999999999999</c:v>
                </c:pt>
                <c:pt idx="4">
                  <c:v>0.26889999999999997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NittyGrittySheet!$B$94:$F$94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NittyGrittySheet!$B$95:$F$95</c:f>
              <c:numCache>
                <c:formatCode>General</c:formatCode>
                <c:ptCount val="5"/>
                <c:pt idx="0">
                  <c:v>53</c:v>
                </c:pt>
                <c:pt idx="1">
                  <c:v>58</c:v>
                </c:pt>
                <c:pt idx="2">
                  <c:v>64</c:v>
                </c:pt>
                <c:pt idx="3">
                  <c:v>66</c:v>
                </c:pt>
                <c:pt idx="4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NittyGrittySheet!$B$94:$F$94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NittyGrittySheet!$B$96:$F$96</c:f>
              <c:numCache>
                <c:formatCode>General</c:formatCode>
                <c:ptCount val="5"/>
                <c:pt idx="0">
                  <c:v>210</c:v>
                </c:pt>
                <c:pt idx="1">
                  <c:v>207</c:v>
                </c:pt>
                <c:pt idx="2">
                  <c:v>200</c:v>
                </c:pt>
                <c:pt idx="3">
                  <c:v>198</c:v>
                </c:pt>
                <c:pt idx="4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NittyGrittySheet!$B$94:$F$94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NittyGrittySheet!$B$98:$F$98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NittyGrittySheet!$B$94:$F$94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NittyGrittySheet!$B$97:$F$97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NittyGrittySheet!$B$94:$F$94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NittyGrittySheet!$B$99:$F$99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NittyGrittySheet!$B$94:$F$94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NittyGrittySheet!$B$100:$F$100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NittyGrittySheet!$B$94:$F$94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NittyGrittySheet!$B$101:$F$101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NittyGrittySheet!$B$94:$F$94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NittyGrittySheet!$B$102:$F$102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NittyGrittySheet!$B$94:$F$94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NittyGrittySheet!$B$103:$F$103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NittyGrittySheet!$B$94:$F$94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NittyGrittySheet!$B$104:$F$104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NittyGrittySheet!$B$94:$F$94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NittyGrittySheet!$B$105:$F$105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287</c:v>
                      </c:pt>
                      <c:pt idx="1">
                        <c:v>294</c:v>
                      </c:pt>
                      <c:pt idx="2">
                        <c:v>290</c:v>
                      </c:pt>
                      <c:pt idx="3">
                        <c:v>289</c:v>
                      </c:pt>
                      <c:pt idx="4">
                        <c:v>286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0.27779999999999999</c:v>
                </c:pt>
                <c:pt idx="4">
                  <c:v>0.36730000000000002</c:v>
                </c:pt>
                <c:pt idx="5">
                  <c:v>0.46479999999999999</c:v>
                </c:pt>
                <c:pt idx="6">
                  <c:v>0.54010000000000002</c:v>
                </c:pt>
                <c:pt idx="7">
                  <c:v>0.61760000000000004</c:v>
                </c:pt>
                <c:pt idx="8">
                  <c:v>0.79369999999999996</c:v>
                </c:pt>
                <c:pt idx="9">
                  <c:v>0.84</c:v>
                </c:pt>
                <c:pt idx="10">
                  <c:v>0.91670000000000007</c:v>
                </c:pt>
                <c:pt idx="11">
                  <c:v>0.94920000000000004</c:v>
                </c:pt>
                <c:pt idx="12">
                  <c:v>0.96609999999999996</c:v>
                </c:pt>
                <c:pt idx="13">
                  <c:v>0.97319999999999995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</c:v>
                </c:pt>
                <c:pt idx="1">
                  <c:v>0.1171171171171171</c:v>
                </c:pt>
                <c:pt idx="2">
                  <c:v>0.15315315315315309</c:v>
                </c:pt>
                <c:pt idx="3">
                  <c:v>0.34234234234234229</c:v>
                </c:pt>
                <c:pt idx="4">
                  <c:v>0.36936936936936943</c:v>
                </c:pt>
                <c:pt idx="5">
                  <c:v>0.45945945945945948</c:v>
                </c:pt>
                <c:pt idx="6">
                  <c:v>0.51351351351351349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0.81081081081081086</c:v>
                </c:pt>
                <c:pt idx="10">
                  <c:v>0.86486486486486491</c:v>
                </c:pt>
                <c:pt idx="11">
                  <c:v>0.92792792792792789</c:v>
                </c:pt>
                <c:pt idx="12">
                  <c:v>0.92792792792792789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0.15384615384615391</c:v>
                </c:pt>
                <c:pt idx="1">
                  <c:v>0.28846153846153838</c:v>
                </c:pt>
                <c:pt idx="2">
                  <c:v>0.375</c:v>
                </c:pt>
                <c:pt idx="3">
                  <c:v>0.46153846153846162</c:v>
                </c:pt>
                <c:pt idx="4">
                  <c:v>0.50961538461538458</c:v>
                </c:pt>
                <c:pt idx="5">
                  <c:v>0.66346153846153844</c:v>
                </c:pt>
                <c:pt idx="6">
                  <c:v>0.74038461538461542</c:v>
                </c:pt>
                <c:pt idx="7">
                  <c:v>0.80769230769230771</c:v>
                </c:pt>
                <c:pt idx="8">
                  <c:v>0.84615384615384615</c:v>
                </c:pt>
                <c:pt idx="9">
                  <c:v>0.89423076923076927</c:v>
                </c:pt>
                <c:pt idx="10">
                  <c:v>0.92307692307692313</c:v>
                </c:pt>
                <c:pt idx="11">
                  <c:v>0.94230769230769229</c:v>
                </c:pt>
                <c:pt idx="12">
                  <c:v>0.94230769230769229</c:v>
                </c:pt>
                <c:pt idx="13">
                  <c:v>0.95192307692307687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0.18055555555555561</c:v>
                </c:pt>
                <c:pt idx="1">
                  <c:v>0.2361111111111111</c:v>
                </c:pt>
                <c:pt idx="2">
                  <c:v>0.43055555555555558</c:v>
                </c:pt>
                <c:pt idx="3">
                  <c:v>0.61111111111111116</c:v>
                </c:pt>
                <c:pt idx="4">
                  <c:v>0.68055555555555558</c:v>
                </c:pt>
                <c:pt idx="5">
                  <c:v>0.70833333333333337</c:v>
                </c:pt>
                <c:pt idx="6">
                  <c:v>0.72222222222222221</c:v>
                </c:pt>
                <c:pt idx="7">
                  <c:v>0.875</c:v>
                </c:pt>
                <c:pt idx="8">
                  <c:v>0.90277777777777779</c:v>
                </c:pt>
                <c:pt idx="9">
                  <c:v>0.91666666666666663</c:v>
                </c:pt>
                <c:pt idx="10">
                  <c:v>0.95833333333333337</c:v>
                </c:pt>
                <c:pt idx="11">
                  <c:v>0.97222222222222221</c:v>
                </c:pt>
                <c:pt idx="12">
                  <c:v>0.98611111111111116</c:v>
                </c:pt>
                <c:pt idx="13">
                  <c:v>0.98611111111111116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0.39240506329113922</c:v>
                </c:pt>
                <c:pt idx="2">
                  <c:v>0.55696202531645567</c:v>
                </c:pt>
                <c:pt idx="3">
                  <c:v>0.69620253164556967</c:v>
                </c:pt>
                <c:pt idx="4">
                  <c:v>0.78481012658227844</c:v>
                </c:pt>
                <c:pt idx="5">
                  <c:v>0.810126582278481</c:v>
                </c:pt>
                <c:pt idx="6">
                  <c:v>0.87341772151898733</c:v>
                </c:pt>
                <c:pt idx="7">
                  <c:v>0.91139240506329111</c:v>
                </c:pt>
                <c:pt idx="8">
                  <c:v>0.97468354430379744</c:v>
                </c:pt>
                <c:pt idx="9">
                  <c:v>0.98734177215189878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  <c:pt idx="0">
                  <c:v>0.1187</c:v>
                </c:pt>
                <c:pt idx="1">
                  <c:v>0.1739</c:v>
                </c:pt>
                <c:pt idx="2">
                  <c:v>0.18629999999999999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NittyGrittySheet!$B$108:$F$108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NittyGrittySheet!$B$109:$F$109</c:f>
              <c:numCache>
                <c:formatCode>0.00%</c:formatCode>
                <c:ptCount val="5"/>
                <c:pt idx="0">
                  <c:v>0.16669999999999999</c:v>
                </c:pt>
                <c:pt idx="1">
                  <c:v>0.16769999999999999</c:v>
                </c:pt>
                <c:pt idx="2">
                  <c:v>0.1739</c:v>
                </c:pt>
                <c:pt idx="3">
                  <c:v>0.18010000000000001</c:v>
                </c:pt>
                <c:pt idx="4">
                  <c:v>0.18629999999999999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NittyGrittySheet!$B$111:$F$111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NittyGrittySheet!$B$112:$F$112</c:f>
              <c:numCache>
                <c:formatCode>General</c:formatCode>
                <c:ptCount val="5"/>
                <c:pt idx="0">
                  <c:v>27</c:v>
                </c:pt>
                <c:pt idx="1">
                  <c:v>27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NittyGrittySheet!$B$111:$F$111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NittyGrittySheet!$B$113:$F$113</c:f>
              <c:numCache>
                <c:formatCode>General</c:formatCode>
                <c:ptCount val="5"/>
                <c:pt idx="0">
                  <c:v>99</c:v>
                </c:pt>
                <c:pt idx="1">
                  <c:v>100</c:v>
                </c:pt>
                <c:pt idx="2">
                  <c:v>99</c:v>
                </c:pt>
                <c:pt idx="3">
                  <c:v>98</c:v>
                </c:pt>
                <c:pt idx="4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NittyGrittySheet!$B$111:$F$111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NittyGrittySheet!$B$115:$F$115</c:f>
              <c:numCache>
                <c:formatCode>General</c:formatCode>
                <c:ptCount val="5"/>
                <c:pt idx="0">
                  <c:v>36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NittyGrittySheet!$B$111:$F$111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NittyGrittySheet!$B$114:$F$114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NittyGrittySheet!$B$111:$F$111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NittyGrittySheet!$B$116:$F$116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NittyGrittySheet!$B$111:$F$111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NittyGrittySheet!$B$117:$F$117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NittyGrittySheet!$B$111:$F$111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NittyGrittySheet!$B$118:$F$118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NittyGrittySheet!$B$111:$F$111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NittyGrittySheet!$B$119:$F$119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NittyGrittySheet!$B$111:$F$111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NittyGrittySheet!$B$120:$F$120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NittyGrittySheet!$B$111:$F$111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NittyGrittySheet!$B$121:$F$121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NittyGrittySheet!$B$111:$F$111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NittyGrittySheet!$B$122:$F$122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171</c:v>
                      </c:pt>
                      <c:pt idx="1">
                        <c:v>172</c:v>
                      </c:pt>
                      <c:pt idx="2">
                        <c:v>172</c:v>
                      </c:pt>
                      <c:pt idx="3">
                        <c:v>172</c:v>
                      </c:pt>
                      <c:pt idx="4">
                        <c:v>172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0.18179999999999999</c:v>
                </c:pt>
                <c:pt idx="4">
                  <c:v>0.24640000000000001</c:v>
                </c:pt>
                <c:pt idx="5">
                  <c:v>0.31879999999999997</c:v>
                </c:pt>
                <c:pt idx="6">
                  <c:v>0.34329999999999999</c:v>
                </c:pt>
                <c:pt idx="7">
                  <c:v>0.37309999999999999</c:v>
                </c:pt>
                <c:pt idx="8">
                  <c:v>0.51559999999999995</c:v>
                </c:pt>
                <c:pt idx="9">
                  <c:v>0.629</c:v>
                </c:pt>
                <c:pt idx="10">
                  <c:v>0.68849999999999989</c:v>
                </c:pt>
                <c:pt idx="11">
                  <c:v>0.9123</c:v>
                </c:pt>
                <c:pt idx="12">
                  <c:v>0.91069999999999995</c:v>
                </c:pt>
                <c:pt idx="13">
                  <c:v>0.90910000000000002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0.16279069767441859</c:v>
                </c:pt>
                <c:pt idx="1">
                  <c:v>0.186046511627907</c:v>
                </c:pt>
                <c:pt idx="2">
                  <c:v>0.23255813953488369</c:v>
                </c:pt>
                <c:pt idx="3">
                  <c:v>0.23255813953488369</c:v>
                </c:pt>
                <c:pt idx="4">
                  <c:v>0.2558139534883721</c:v>
                </c:pt>
                <c:pt idx="5">
                  <c:v>0.46511627906976738</c:v>
                </c:pt>
                <c:pt idx="6">
                  <c:v>0.51162790697674421</c:v>
                </c:pt>
                <c:pt idx="7">
                  <c:v>0.58139534883720934</c:v>
                </c:pt>
                <c:pt idx="8">
                  <c:v>0.58139534883720934</c:v>
                </c:pt>
                <c:pt idx="9">
                  <c:v>0.58139534883720934</c:v>
                </c:pt>
                <c:pt idx="10">
                  <c:v>0.60465116279069764</c:v>
                </c:pt>
                <c:pt idx="11">
                  <c:v>0.62790697674418605</c:v>
                </c:pt>
                <c:pt idx="12">
                  <c:v>0.97674418604651159</c:v>
                </c:pt>
                <c:pt idx="13">
                  <c:v>0.97674418604651159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</c:v>
                </c:pt>
                <c:pt idx="1">
                  <c:v>0.13636363636363641</c:v>
                </c:pt>
                <c:pt idx="2">
                  <c:v>0.15909090909090909</c:v>
                </c:pt>
                <c:pt idx="3">
                  <c:v>0.27272727272727271</c:v>
                </c:pt>
                <c:pt idx="4">
                  <c:v>0.31818181818181818</c:v>
                </c:pt>
                <c:pt idx="5">
                  <c:v>0.31818181818181818</c:v>
                </c:pt>
                <c:pt idx="6">
                  <c:v>0.31818181818181818</c:v>
                </c:pt>
                <c:pt idx="7">
                  <c:v>0.36363636363636359</c:v>
                </c:pt>
                <c:pt idx="8">
                  <c:v>0.38636363636363641</c:v>
                </c:pt>
                <c:pt idx="9">
                  <c:v>0.43181818181818182</c:v>
                </c:pt>
                <c:pt idx="10">
                  <c:v>0.47727272727272729</c:v>
                </c:pt>
                <c:pt idx="11">
                  <c:v>0.95454545454545459</c:v>
                </c:pt>
                <c:pt idx="12">
                  <c:v>0.95454545454545459</c:v>
                </c:pt>
                <c:pt idx="13">
                  <c:v>0.95454545454545459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2.3809523809523812E-2</c:v>
                </c:pt>
                <c:pt idx="1">
                  <c:v>2.3809523809523812E-2</c:v>
                </c:pt>
                <c:pt idx="2">
                  <c:v>7.1428571428571425E-2</c:v>
                </c:pt>
                <c:pt idx="3">
                  <c:v>7.1428571428571425E-2</c:v>
                </c:pt>
                <c:pt idx="4">
                  <c:v>0.14285714285714279</c:v>
                </c:pt>
                <c:pt idx="5">
                  <c:v>0.14285714285714279</c:v>
                </c:pt>
                <c:pt idx="6">
                  <c:v>0.19047619047619049</c:v>
                </c:pt>
                <c:pt idx="7">
                  <c:v>0.19047619047619049</c:v>
                </c:pt>
                <c:pt idx="8">
                  <c:v>0.19047619047619049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0.12195121951219511</c:v>
                </c:pt>
                <c:pt idx="1">
                  <c:v>0.12195121951219511</c:v>
                </c:pt>
                <c:pt idx="2">
                  <c:v>0.24390243902439021</c:v>
                </c:pt>
                <c:pt idx="3">
                  <c:v>0.29268292682926828</c:v>
                </c:pt>
                <c:pt idx="4">
                  <c:v>0.29268292682926828</c:v>
                </c:pt>
                <c:pt idx="5">
                  <c:v>0.31707317073170732</c:v>
                </c:pt>
                <c:pt idx="6">
                  <c:v>0.3902439024390244</c:v>
                </c:pt>
                <c:pt idx="7">
                  <c:v>0.43902439024390238</c:v>
                </c:pt>
                <c:pt idx="8">
                  <c:v>0.48780487804878048</c:v>
                </c:pt>
                <c:pt idx="9">
                  <c:v>0.48780487804878048</c:v>
                </c:pt>
                <c:pt idx="10">
                  <c:v>0.65853658536585369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  <c:pt idx="0">
                  <c:v>0.05</c:v>
                </c:pt>
                <c:pt idx="1">
                  <c:v>9.64E-2</c:v>
                </c:pt>
                <c:pt idx="2">
                  <c:v>0.1205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NittyGrittySheet!$B$125:$F$125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NittyGrittySheet!$B$126:$F$126</c:f>
              <c:numCache>
                <c:formatCode>0.00%</c:formatCode>
                <c:ptCount val="5"/>
                <c:pt idx="0">
                  <c:v>8.539999999999999E-2</c:v>
                </c:pt>
                <c:pt idx="1">
                  <c:v>8.539999999999999E-2</c:v>
                </c:pt>
                <c:pt idx="2">
                  <c:v>9.64E-2</c:v>
                </c:pt>
                <c:pt idx="3">
                  <c:v>0.1084</c:v>
                </c:pt>
                <c:pt idx="4">
                  <c:v>0.1205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NittyGrittySheet!$B$128:$F$128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NittyGrittySheet!$B$129:$F$129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NittyGrittySheet!$B$128:$F$128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NittyGrittySheet!$B$130:$F$130</c:f>
              <c:numCache>
                <c:formatCode>General</c:formatCode>
                <c:ptCount val="5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NittyGrittySheet!$B$128:$F$128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NittyGrittySheet!$B$132:$F$132</c:f>
              <c:numCache>
                <c:formatCode>General</c:formatCode>
                <c:ptCount val="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39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NittyGrittySheet!$B$128:$F$128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NittyGrittySheet!$B$131:$F$131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NittyGrittySheet!$B$128:$F$128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NittyGrittySheet!$B$133:$F$133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NittyGrittySheet!$B$128:$F$128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NittyGrittySheet!$B$134:$F$134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NittyGrittySheet!$B$128:$F$128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NittyGrittySheet!$B$135:$F$135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NittyGrittySheet!$B$128:$F$128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NittyGrittySheet!$B$136:$F$136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NittyGrittySheet!$B$128:$F$128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NittyGrittySheet!$B$137:$F$137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NittyGrittySheet!$B$128:$F$128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NittyGrittySheet!$B$138:$F$138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NittyGrittySheet!$B$128:$F$128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NittyGrittySheet!$B$139:$F$139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84</c:v>
                      </c:pt>
                      <c:pt idx="3">
                        <c:v>84</c:v>
                      </c:pt>
                      <c:pt idx="4">
                        <c:v>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0.22639999999999999</c:v>
                </c:pt>
                <c:pt idx="3">
                  <c:v>0.30070000000000002</c:v>
                </c:pt>
                <c:pt idx="4">
                  <c:v>0.33800000000000002</c:v>
                </c:pt>
                <c:pt idx="5">
                  <c:v>0.4234</c:v>
                </c:pt>
                <c:pt idx="6">
                  <c:v>0.53910000000000002</c:v>
                </c:pt>
                <c:pt idx="7">
                  <c:v>0.63029999999999997</c:v>
                </c:pt>
                <c:pt idx="8">
                  <c:v>0.69169999999999998</c:v>
                </c:pt>
                <c:pt idx="9">
                  <c:v>0.79819999999999991</c:v>
                </c:pt>
                <c:pt idx="10">
                  <c:v>0.84109999999999996</c:v>
                </c:pt>
                <c:pt idx="11">
                  <c:v>0.89319999999999988</c:v>
                </c:pt>
                <c:pt idx="12">
                  <c:v>0.90200000000000002</c:v>
                </c:pt>
                <c:pt idx="13">
                  <c:v>0.91090000000000004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0.55000000000000004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7.0588235294117646E-2</c:v>
                </c:pt>
                <c:pt idx="1">
                  <c:v>0.1176470588235294</c:v>
                </c:pt>
                <c:pt idx="2">
                  <c:v>0.1764705882352941</c:v>
                </c:pt>
                <c:pt idx="3">
                  <c:v>0.18823529411764711</c:v>
                </c:pt>
                <c:pt idx="4">
                  <c:v>0.22352941176470589</c:v>
                </c:pt>
                <c:pt idx="5">
                  <c:v>0.31764705882352939</c:v>
                </c:pt>
                <c:pt idx="6">
                  <c:v>0.41176470588235292</c:v>
                </c:pt>
                <c:pt idx="7">
                  <c:v>0.45882352941176469</c:v>
                </c:pt>
                <c:pt idx="8">
                  <c:v>0.49411764705882361</c:v>
                </c:pt>
                <c:pt idx="9">
                  <c:v>0.50588235294117645</c:v>
                </c:pt>
                <c:pt idx="10">
                  <c:v>0.52941176470588236</c:v>
                </c:pt>
                <c:pt idx="11">
                  <c:v>0.70588235294117652</c:v>
                </c:pt>
                <c:pt idx="12">
                  <c:v>0.74117647058823533</c:v>
                </c:pt>
                <c:pt idx="13">
                  <c:v>0.74117647058823533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6.8181818181818177E-2</c:v>
                </c:pt>
                <c:pt idx="1">
                  <c:v>0.13636363636363641</c:v>
                </c:pt>
                <c:pt idx="2">
                  <c:v>0.1818181818181818</c:v>
                </c:pt>
                <c:pt idx="3">
                  <c:v>0.26136363636363641</c:v>
                </c:pt>
                <c:pt idx="4">
                  <c:v>0.28409090909090912</c:v>
                </c:pt>
                <c:pt idx="5">
                  <c:v>0.29545454545454553</c:v>
                </c:pt>
                <c:pt idx="6">
                  <c:v>0.31818181818181818</c:v>
                </c:pt>
                <c:pt idx="7">
                  <c:v>0.39772727272727271</c:v>
                </c:pt>
                <c:pt idx="8">
                  <c:v>0.43181818181818182</c:v>
                </c:pt>
                <c:pt idx="9">
                  <c:v>0.61363636363636365</c:v>
                </c:pt>
                <c:pt idx="10">
                  <c:v>0.75</c:v>
                </c:pt>
                <c:pt idx="11">
                  <c:v>0.89772727272727271</c:v>
                </c:pt>
                <c:pt idx="12">
                  <c:v>0.90909090909090906</c:v>
                </c:pt>
                <c:pt idx="13">
                  <c:v>0.90909090909090906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2.564102564102564E-2</c:v>
                </c:pt>
                <c:pt idx="1">
                  <c:v>5.128205128205128E-2</c:v>
                </c:pt>
                <c:pt idx="2">
                  <c:v>0.1153846153846154</c:v>
                </c:pt>
                <c:pt idx="3">
                  <c:v>0.24358974358974361</c:v>
                </c:pt>
                <c:pt idx="4">
                  <c:v>0.29487179487179488</c:v>
                </c:pt>
                <c:pt idx="5">
                  <c:v>0.38461538461538458</c:v>
                </c:pt>
                <c:pt idx="6">
                  <c:v>0.41025641025641019</c:v>
                </c:pt>
                <c:pt idx="7">
                  <c:v>0.47435897435897428</c:v>
                </c:pt>
                <c:pt idx="8">
                  <c:v>0.5641025641025641</c:v>
                </c:pt>
                <c:pt idx="9">
                  <c:v>0.61538461538461542</c:v>
                </c:pt>
                <c:pt idx="10">
                  <c:v>0.69230769230769229</c:v>
                </c:pt>
                <c:pt idx="11">
                  <c:v>0.91025641025641024</c:v>
                </c:pt>
                <c:pt idx="12">
                  <c:v>0.92307692307692313</c:v>
                </c:pt>
                <c:pt idx="13">
                  <c:v>0.92307692307692313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  <c:pt idx="0">
                  <c:v>0.1409</c:v>
                </c:pt>
                <c:pt idx="1">
                  <c:v>0.1835</c:v>
                </c:pt>
                <c:pt idx="2">
                  <c:v>0.1835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NittyGrittySheet!$B$142:$F$142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NittyGrittySheet!$B$143:$F$143</c:f>
              <c:numCache>
                <c:formatCode>0.00%</c:formatCode>
                <c:ptCount val="5"/>
                <c:pt idx="0">
                  <c:v>0.15820000000000001</c:v>
                </c:pt>
                <c:pt idx="1">
                  <c:v>0.1772</c:v>
                </c:pt>
                <c:pt idx="2">
                  <c:v>0.1835</c:v>
                </c:pt>
                <c:pt idx="3">
                  <c:v>0.1835</c:v>
                </c:pt>
                <c:pt idx="4">
                  <c:v>0.1835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NittyGrittySheet!$B$145:$F$145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NittyGrittySheet!$B$146:$F$146</c:f>
              <c:numCache>
                <c:formatCode>General</c:formatCode>
                <c:ptCount val="5"/>
                <c:pt idx="0">
                  <c:v>25</c:v>
                </c:pt>
                <c:pt idx="1">
                  <c:v>28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NittyGrittySheet!$B$145:$F$145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NittyGrittySheet!$B$147:$F$147</c:f>
              <c:numCache>
                <c:formatCode>General</c:formatCode>
                <c:ptCount val="5"/>
                <c:pt idx="0">
                  <c:v>132</c:v>
                </c:pt>
                <c:pt idx="1">
                  <c:v>129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NittyGrittySheet!$B$145:$F$145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NittyGrittySheet!$B$149:$F$149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NittyGrittySheet!$B$145:$F$145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NittyGrittySheet!$B$148:$F$148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NittyGrittySheet!$B$145:$F$145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NittyGrittySheet!$B$150:$F$150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NittyGrittySheet!$B$145:$F$145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NittyGrittySheet!$B$151:$F$151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NittyGrittySheet!$B$145:$F$145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NittyGrittySheet!$B$152:$F$152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NittyGrittySheet!$B$145:$F$145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NittyGrittySheet!$B$153:$F$153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NittyGrittySheet!$B$145:$F$145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NittyGrittySheet!$B$154:$F$154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NittyGrittySheet!$B$145:$F$145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NittyGrittySheet!$B$155:$F$155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11</c:v>
                      </c:pt>
                      <c:pt idx="4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NittyGrittySheet!$B$145:$F$145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NittyGrittySheet!$B$156:$F$156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191</c:v>
                      </c:pt>
                      <c:pt idx="1">
                        <c:v>191</c:v>
                      </c:pt>
                      <c:pt idx="2">
                        <c:v>191</c:v>
                      </c:pt>
                      <c:pt idx="3">
                        <c:v>191</c:v>
                      </c:pt>
                      <c:pt idx="4">
                        <c:v>191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0.28789999999999999</c:v>
                </c:pt>
                <c:pt idx="5">
                  <c:v>0.36509999999999998</c:v>
                </c:pt>
                <c:pt idx="6">
                  <c:v>0.36065573770491799</c:v>
                </c:pt>
                <c:pt idx="7">
                  <c:v>0.44230000000000003</c:v>
                </c:pt>
                <c:pt idx="8">
                  <c:v>0.52270000000000005</c:v>
                </c:pt>
                <c:pt idx="9">
                  <c:v>0.64290000000000003</c:v>
                </c:pt>
                <c:pt idx="10">
                  <c:v>0.7</c:v>
                </c:pt>
                <c:pt idx="11">
                  <c:v>0.89659999999999995</c:v>
                </c:pt>
                <c:pt idx="12">
                  <c:v>0.89659999999999995</c:v>
                </c:pt>
                <c:pt idx="13">
                  <c:v>0.89659999999999995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0.16666666666666671</c:v>
                </c:pt>
                <c:pt idx="2">
                  <c:v>0.16666666666666671</c:v>
                </c:pt>
                <c:pt idx="3">
                  <c:v>0.16666666666666671</c:v>
                </c:pt>
                <c:pt idx="4">
                  <c:v>0.22222222222222221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0.61111111111111116</c:v>
                </c:pt>
                <c:pt idx="8">
                  <c:v>0.61111111111111116</c:v>
                </c:pt>
                <c:pt idx="9">
                  <c:v>0.61111111111111116</c:v>
                </c:pt>
                <c:pt idx="10">
                  <c:v>0.61111111111111116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0.23809523809523811</c:v>
                </c:pt>
                <c:pt idx="1">
                  <c:v>0.23809523809523811</c:v>
                </c:pt>
                <c:pt idx="2">
                  <c:v>0.2857142857142857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0.52380952380952384</c:v>
                </c:pt>
                <c:pt idx="6">
                  <c:v>0.61904761904761907</c:v>
                </c:pt>
                <c:pt idx="7">
                  <c:v>0.7142857142857143</c:v>
                </c:pt>
                <c:pt idx="8">
                  <c:v>0.80952380952380953</c:v>
                </c:pt>
                <c:pt idx="9">
                  <c:v>0.95238095238095233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0.16666666666666671</c:v>
                </c:pt>
                <c:pt idx="1">
                  <c:v>0.20833333333333329</c:v>
                </c:pt>
                <c:pt idx="2">
                  <c:v>0.20833333333333329</c:v>
                </c:pt>
                <c:pt idx="3">
                  <c:v>0.20833333333333329</c:v>
                </c:pt>
                <c:pt idx="4">
                  <c:v>0.20833333333333329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0.625</c:v>
                </c:pt>
                <c:pt idx="9">
                  <c:v>0.79166666666666663</c:v>
                </c:pt>
                <c:pt idx="10">
                  <c:v>0.79166666666666663</c:v>
                </c:pt>
                <c:pt idx="11">
                  <c:v>0.91666666666666663</c:v>
                </c:pt>
                <c:pt idx="12">
                  <c:v>0.91666666666666663</c:v>
                </c:pt>
                <c:pt idx="13">
                  <c:v>0.95833333333333337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0.2105263157894737</c:v>
                </c:pt>
                <c:pt idx="1">
                  <c:v>0.2105263157894737</c:v>
                </c:pt>
                <c:pt idx="2">
                  <c:v>0.2105263157894737</c:v>
                </c:pt>
                <c:pt idx="3">
                  <c:v>0.26315789473684209</c:v>
                </c:pt>
                <c:pt idx="4">
                  <c:v>0.47368421052631582</c:v>
                </c:pt>
                <c:pt idx="5">
                  <c:v>0.52631578947368418</c:v>
                </c:pt>
                <c:pt idx="6">
                  <c:v>0.73684210526315785</c:v>
                </c:pt>
                <c:pt idx="7">
                  <c:v>0.84210526315789469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  <c:pt idx="0">
                  <c:v>0.1158</c:v>
                </c:pt>
                <c:pt idx="1">
                  <c:v>0.19570000000000001</c:v>
                </c:pt>
                <c:pt idx="2">
                  <c:v>0.20430000000000001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NittyGrittySheet!$B$159:$F$159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NittyGrittySheet!$B$160:$F$160</c:f>
              <c:numCache>
                <c:formatCode>0.00%</c:formatCode>
                <c:ptCount val="5"/>
                <c:pt idx="0">
                  <c:v>0.1895</c:v>
                </c:pt>
                <c:pt idx="1">
                  <c:v>0.1895</c:v>
                </c:pt>
                <c:pt idx="2">
                  <c:v>0.19570000000000001</c:v>
                </c:pt>
                <c:pt idx="3">
                  <c:v>0.19350000000000001</c:v>
                </c:pt>
                <c:pt idx="4">
                  <c:v>0.20430000000000001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NittyGrittySheet!$B$162:$F$162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NittyGrittySheet!$B$163:$F$163</c:f>
              <c:numCache>
                <c:formatCode>General</c:formatCode>
                <c:ptCount val="5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NittyGrittySheet!$B$162:$F$162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NittyGrittySheet!$B$164:$F$164</c:f>
              <c:numCache>
                <c:formatCode>General</c:formatCode>
                <c:ptCount val="5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28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NittyGrittySheet!$B$162:$F$162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NittyGrittySheet!$B$166:$F$166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47</c:v>
                </c:pt>
                <c:pt idx="3">
                  <c:v>47</c:v>
                </c:pt>
                <c:pt idx="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NittyGrittySheet!$B$162:$F$162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NittyGrittySheet!$B$165:$F$165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NittyGrittySheet!$B$162:$F$162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NittyGrittySheet!$B$167:$F$167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NittyGrittySheet!$B$162:$F$162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NittyGrittySheet!$B$168:$F$168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NittyGrittySheet!$B$162:$F$162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NittyGrittySheet!$B$169:$F$169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9</c:v>
                      </c:pt>
                      <c:pt idx="4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NittyGrittySheet!$B$162:$F$162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NittyGrittySheet!$B$170:$F$170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NittyGrittySheet!$B$162:$F$162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NittyGrittySheet!$B$171:$F$171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NittyGrittySheet!$B$162:$F$162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NittyGrittySheet!$B$172:$F$172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NittyGrittySheet!$B$162:$F$162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NittyGrittySheet!$B$173:$F$173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117</c:v>
                      </c:pt>
                      <c:pt idx="1">
                        <c:v>117</c:v>
                      </c:pt>
                      <c:pt idx="2">
                        <c:v>117</c:v>
                      </c:pt>
                      <c:pt idx="3">
                        <c:v>117</c:v>
                      </c:pt>
                      <c:pt idx="4">
                        <c:v>117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0.16109999999999999</c:v>
                </c:pt>
                <c:pt idx="3">
                  <c:v>0.18129999999999999</c:v>
                </c:pt>
                <c:pt idx="4">
                  <c:v>0.26779999999999998</c:v>
                </c:pt>
                <c:pt idx="5">
                  <c:v>0.33150000000000002</c:v>
                </c:pt>
                <c:pt idx="6">
                  <c:v>0.44309999999999999</c:v>
                </c:pt>
                <c:pt idx="7">
                  <c:v>0.60140000000000005</c:v>
                </c:pt>
                <c:pt idx="8">
                  <c:v>0.7258</c:v>
                </c:pt>
                <c:pt idx="9">
                  <c:v>0.78150000000000008</c:v>
                </c:pt>
                <c:pt idx="10">
                  <c:v>0.82239999999999991</c:v>
                </c:pt>
                <c:pt idx="11">
                  <c:v>0.91890000000000005</c:v>
                </c:pt>
                <c:pt idx="12">
                  <c:v>0.95409999999999995</c:v>
                </c:pt>
                <c:pt idx="13">
                  <c:v>0.95450000000000002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0.10476190476190481</c:v>
                </c:pt>
                <c:pt idx="1">
                  <c:v>0.1333333333333333</c:v>
                </c:pt>
                <c:pt idx="2">
                  <c:v>0.14285714285714279</c:v>
                </c:pt>
                <c:pt idx="3">
                  <c:v>0.19047619047619049</c:v>
                </c:pt>
                <c:pt idx="4">
                  <c:v>0.23809523809523811</c:v>
                </c:pt>
                <c:pt idx="5">
                  <c:v>0.3619047619047619</c:v>
                </c:pt>
                <c:pt idx="6">
                  <c:v>0.47619047619047622</c:v>
                </c:pt>
                <c:pt idx="7">
                  <c:v>0.52380952380952384</c:v>
                </c:pt>
                <c:pt idx="8">
                  <c:v>0.59047619047619049</c:v>
                </c:pt>
                <c:pt idx="9">
                  <c:v>0.65714285714285714</c:v>
                </c:pt>
                <c:pt idx="10">
                  <c:v>0.72380952380952379</c:v>
                </c:pt>
                <c:pt idx="11">
                  <c:v>0.89523809523809528</c:v>
                </c:pt>
                <c:pt idx="12">
                  <c:v>0.92380952380952386</c:v>
                </c:pt>
                <c:pt idx="13">
                  <c:v>0.97140000000000004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0.16842105263157889</c:v>
                </c:pt>
                <c:pt idx="1">
                  <c:v>0.1789473684210526</c:v>
                </c:pt>
                <c:pt idx="2">
                  <c:v>0.26315789473684209</c:v>
                </c:pt>
                <c:pt idx="3">
                  <c:v>0.27368421052631581</c:v>
                </c:pt>
                <c:pt idx="4">
                  <c:v>0.29473684210526307</c:v>
                </c:pt>
                <c:pt idx="5">
                  <c:v>0.41052631578947368</c:v>
                </c:pt>
                <c:pt idx="6">
                  <c:v>0.49473684210526309</c:v>
                </c:pt>
                <c:pt idx="7">
                  <c:v>0.49473684210526309</c:v>
                </c:pt>
                <c:pt idx="8">
                  <c:v>0.57894736842105265</c:v>
                </c:pt>
                <c:pt idx="9">
                  <c:v>0.74736842105263157</c:v>
                </c:pt>
                <c:pt idx="10">
                  <c:v>0.86315789473684212</c:v>
                </c:pt>
                <c:pt idx="11">
                  <c:v>0.9263157894736842</c:v>
                </c:pt>
                <c:pt idx="12">
                  <c:v>0.93684210526315792</c:v>
                </c:pt>
                <c:pt idx="13">
                  <c:v>0.98950000000000005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7.407407407407407E-2</c:v>
                </c:pt>
                <c:pt idx="1">
                  <c:v>9.8765432098765427E-2</c:v>
                </c:pt>
                <c:pt idx="2">
                  <c:v>0.1111111111111111</c:v>
                </c:pt>
                <c:pt idx="3">
                  <c:v>0.1234567901234568</c:v>
                </c:pt>
                <c:pt idx="4">
                  <c:v>0.19753086419753091</c:v>
                </c:pt>
                <c:pt idx="5">
                  <c:v>0.19753086419753091</c:v>
                </c:pt>
                <c:pt idx="6">
                  <c:v>0.27160493827160492</c:v>
                </c:pt>
                <c:pt idx="7">
                  <c:v>0.33333333333333331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0.81481481481481477</c:v>
                </c:pt>
                <c:pt idx="11">
                  <c:v>0.85185185185185186</c:v>
                </c:pt>
                <c:pt idx="12">
                  <c:v>0.85185185185185186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6.8965517241379309E-2</c:v>
                </c:pt>
                <c:pt idx="1">
                  <c:v>0.12643678160919539</c:v>
                </c:pt>
                <c:pt idx="2">
                  <c:v>0.17241379310344829</c:v>
                </c:pt>
                <c:pt idx="3">
                  <c:v>0.1954022988505747</c:v>
                </c:pt>
                <c:pt idx="4">
                  <c:v>0.22988505747126439</c:v>
                </c:pt>
                <c:pt idx="5">
                  <c:v>0.27586206896551718</c:v>
                </c:pt>
                <c:pt idx="6">
                  <c:v>0.42528735632183912</c:v>
                </c:pt>
                <c:pt idx="7">
                  <c:v>0.57471264367816088</c:v>
                </c:pt>
                <c:pt idx="8">
                  <c:v>0.74712643678160917</c:v>
                </c:pt>
                <c:pt idx="9">
                  <c:v>0.87356321839080464</c:v>
                </c:pt>
                <c:pt idx="10">
                  <c:v>0.89655172413793105</c:v>
                </c:pt>
                <c:pt idx="11">
                  <c:v>0.93103448275862066</c:v>
                </c:pt>
                <c:pt idx="12">
                  <c:v>0.93103448275862066</c:v>
                </c:pt>
                <c:pt idx="13">
                  <c:v>0.98850000000000005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  <c:pt idx="0">
                  <c:v>9.9000000000000005E-2</c:v>
                </c:pt>
                <c:pt idx="1">
                  <c:v>0.1176</c:v>
                </c:pt>
                <c:pt idx="2">
                  <c:v>0.1176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NittyGrittySheet!$B$176:$F$176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NittyGrittySheet!$B$177:$F$177</c:f>
              <c:numCache>
                <c:formatCode>0.00%</c:formatCode>
                <c:ptCount val="5"/>
                <c:pt idx="0">
                  <c:v>0.11269999999999999</c:v>
                </c:pt>
                <c:pt idx="1">
                  <c:v>0.1133</c:v>
                </c:pt>
                <c:pt idx="2">
                  <c:v>0.1176</c:v>
                </c:pt>
                <c:pt idx="3">
                  <c:v>0.1176</c:v>
                </c:pt>
                <c:pt idx="4">
                  <c:v>0.1176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NittyGrittySheet!$B$179:$F$179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NittyGrittySheet!$B$180:$F$180</c:f>
              <c:numCache>
                <c:formatCode>General</c:formatCode>
                <c:ptCount val="5"/>
                <c:pt idx="0">
                  <c:v>23</c:v>
                </c:pt>
                <c:pt idx="1">
                  <c:v>23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NittyGrittySheet!$B$179:$F$179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NittyGrittySheet!$B$181:$F$181</c:f>
              <c:numCache>
                <c:formatCode>General</c:formatCode>
                <c:ptCount val="5"/>
                <c:pt idx="0">
                  <c:v>165</c:v>
                </c:pt>
                <c:pt idx="1">
                  <c:v>164</c:v>
                </c:pt>
                <c:pt idx="2">
                  <c:v>164</c:v>
                </c:pt>
                <c:pt idx="3">
                  <c:v>164</c:v>
                </c:pt>
                <c:pt idx="4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NittyGrittySheet!$B$179:$F$179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NittyGrittySheet!$B$183:$F$183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NittyGrittySheet!$B$179:$F$179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NittyGrittySheet!$B$182:$F$182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NittyGrittySheet!$B$179:$F$179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NittyGrittySheet!$B$184:$F$184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9</c:v>
                      </c:pt>
                      <c:pt idx="4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NittyGrittySheet!$B$179:$F$179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NittyGrittySheet!$B$185:$F$185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NittyGrittySheet!$B$179:$F$179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NittyGrittySheet!$B$186:$F$186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11</c:v>
                      </c:pt>
                      <c:pt idx="4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NittyGrittySheet!$B$179:$F$179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NittyGrittySheet!$B$187:$F$187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NittyGrittySheet!$B$179:$F$179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NittyGrittySheet!$B$188:$F$188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NittyGrittySheet!$B$179:$F$179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NittyGrittySheet!$B$189:$F$189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NittyGrittySheet!$B$179:$F$179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NittyGrittySheet!$B$190:$F$190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230</c:v>
                      </c:pt>
                      <c:pt idx="1">
                        <c:v>230</c:v>
                      </c:pt>
                      <c:pt idx="2">
                        <c:v>230</c:v>
                      </c:pt>
                      <c:pt idx="3">
                        <c:v>230</c:v>
                      </c:pt>
                      <c:pt idx="4">
                        <c:v>230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0.16109999999999999</c:v>
                </c:pt>
                <c:pt idx="3">
                  <c:v>0.18129999999999999</c:v>
                </c:pt>
                <c:pt idx="4">
                  <c:v>0.26779999999999998</c:v>
                </c:pt>
                <c:pt idx="5">
                  <c:v>0.38840000000000002</c:v>
                </c:pt>
                <c:pt idx="6">
                  <c:v>0.4138</c:v>
                </c:pt>
                <c:pt idx="7">
                  <c:v>0.43859999999999999</c:v>
                </c:pt>
                <c:pt idx="8">
                  <c:v>0.5534</c:v>
                </c:pt>
                <c:pt idx="9">
                  <c:v>0.65980000000000005</c:v>
                </c:pt>
                <c:pt idx="10">
                  <c:v>0.79760000000000009</c:v>
                </c:pt>
                <c:pt idx="11">
                  <c:v>0.97219999999999995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0.10476190476190481</c:v>
                </c:pt>
                <c:pt idx="1">
                  <c:v>0.1333333333333333</c:v>
                </c:pt>
                <c:pt idx="2">
                  <c:v>0.14285714285714279</c:v>
                </c:pt>
                <c:pt idx="3">
                  <c:v>0.19047619047619049</c:v>
                </c:pt>
                <c:pt idx="4">
                  <c:v>0.23809523809523811</c:v>
                </c:pt>
                <c:pt idx="5">
                  <c:v>0.3619047619047619</c:v>
                </c:pt>
                <c:pt idx="6">
                  <c:v>0.47619047619047622</c:v>
                </c:pt>
                <c:pt idx="7">
                  <c:v>0.52380952380952384</c:v>
                </c:pt>
                <c:pt idx="8">
                  <c:v>0.59047619047619049</c:v>
                </c:pt>
                <c:pt idx="9">
                  <c:v>0.65714285714285714</c:v>
                </c:pt>
                <c:pt idx="10">
                  <c:v>0.72380952380952379</c:v>
                </c:pt>
                <c:pt idx="11">
                  <c:v>0.89523809523809528</c:v>
                </c:pt>
                <c:pt idx="12">
                  <c:v>0.92380952380952386</c:v>
                </c:pt>
                <c:pt idx="13">
                  <c:v>0.95238095238095233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0.16842105263157889</c:v>
                </c:pt>
                <c:pt idx="1">
                  <c:v>0.1789473684210526</c:v>
                </c:pt>
                <c:pt idx="2">
                  <c:v>0.26315789473684209</c:v>
                </c:pt>
                <c:pt idx="3">
                  <c:v>0.27368421052631581</c:v>
                </c:pt>
                <c:pt idx="4">
                  <c:v>0.29473684210526307</c:v>
                </c:pt>
                <c:pt idx="5">
                  <c:v>0.41052631578947368</c:v>
                </c:pt>
                <c:pt idx="6">
                  <c:v>0.49473684210526309</c:v>
                </c:pt>
                <c:pt idx="7">
                  <c:v>0.49473684210526309</c:v>
                </c:pt>
                <c:pt idx="8">
                  <c:v>0.57894736842105265</c:v>
                </c:pt>
                <c:pt idx="9">
                  <c:v>0.74736842105263157</c:v>
                </c:pt>
                <c:pt idx="10">
                  <c:v>0.86315789473684212</c:v>
                </c:pt>
                <c:pt idx="11">
                  <c:v>0.9263157894736842</c:v>
                </c:pt>
                <c:pt idx="12">
                  <c:v>0.93684210526315792</c:v>
                </c:pt>
                <c:pt idx="13">
                  <c:v>0.93684210526315792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7.407407407407407E-2</c:v>
                </c:pt>
                <c:pt idx="1">
                  <c:v>9.8765432098765427E-2</c:v>
                </c:pt>
                <c:pt idx="2">
                  <c:v>0.1111111111111111</c:v>
                </c:pt>
                <c:pt idx="3">
                  <c:v>0.1234567901234568</c:v>
                </c:pt>
                <c:pt idx="4">
                  <c:v>0.19753086419753091</c:v>
                </c:pt>
                <c:pt idx="5">
                  <c:v>0.19753086419753091</c:v>
                </c:pt>
                <c:pt idx="6">
                  <c:v>0.27160493827160492</c:v>
                </c:pt>
                <c:pt idx="7">
                  <c:v>0.33333333333333331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0.81481481481481477</c:v>
                </c:pt>
                <c:pt idx="11">
                  <c:v>0.85185185185185186</c:v>
                </c:pt>
                <c:pt idx="12">
                  <c:v>0.85185185185185186</c:v>
                </c:pt>
                <c:pt idx="13">
                  <c:v>0.85185185185185186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6.8965517241379309E-2</c:v>
                </c:pt>
                <c:pt idx="1">
                  <c:v>0.12643678160919539</c:v>
                </c:pt>
                <c:pt idx="2">
                  <c:v>0.17241379310344829</c:v>
                </c:pt>
                <c:pt idx="3">
                  <c:v>0.1954022988505747</c:v>
                </c:pt>
                <c:pt idx="4">
                  <c:v>0.22988505747126439</c:v>
                </c:pt>
                <c:pt idx="5">
                  <c:v>0.27586206896551718</c:v>
                </c:pt>
                <c:pt idx="6">
                  <c:v>0.42528735632183912</c:v>
                </c:pt>
                <c:pt idx="7">
                  <c:v>0.57471264367816088</c:v>
                </c:pt>
                <c:pt idx="8">
                  <c:v>0.74712643678160917</c:v>
                </c:pt>
                <c:pt idx="9">
                  <c:v>0.87356321839080464</c:v>
                </c:pt>
                <c:pt idx="10">
                  <c:v>0.89655172413793105</c:v>
                </c:pt>
                <c:pt idx="11">
                  <c:v>0.93103448275862066</c:v>
                </c:pt>
                <c:pt idx="12">
                  <c:v>0.93103448275862066</c:v>
                </c:pt>
                <c:pt idx="13">
                  <c:v>0.93103448275862066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  <c:pt idx="0">
                  <c:v>0.1462</c:v>
                </c:pt>
                <c:pt idx="1">
                  <c:v>0.1615</c:v>
                </c:pt>
                <c:pt idx="2">
                  <c:v>0.1615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NittyGrittySheet!$B$193:$F$193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NittyGrittySheet!$B$194:$F$194</c:f>
              <c:numCache>
                <c:formatCode>0.00%</c:formatCode>
                <c:ptCount val="5"/>
                <c:pt idx="0">
                  <c:v>0.1615</c:v>
                </c:pt>
                <c:pt idx="1">
                  <c:v>0.1603</c:v>
                </c:pt>
                <c:pt idx="2">
                  <c:v>0.1615</c:v>
                </c:pt>
                <c:pt idx="3">
                  <c:v>0.1615</c:v>
                </c:pt>
                <c:pt idx="4">
                  <c:v>0.1615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NittyGrittySheet!$B$196:$F$196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NittyGrittySheet!$B$197:$F$197</c:f>
              <c:numCache>
                <c:formatCode>General</c:formatCode>
                <c:ptCount val="5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NittyGrittySheet!$B$196:$F$196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NittyGrittySheet!$B$198:$F$198</c:f>
              <c:numCache>
                <c:formatCode>General</c:formatCode>
                <c:ptCount val="5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NittyGrittySheet!$B$196:$F$196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NittyGrittySheet!$B$200:$F$200</c:f>
              <c:numCache>
                <c:formatCode>General</c:formatCode>
                <c:ptCount val="5"/>
                <c:pt idx="0">
                  <c:v>62</c:v>
                </c:pt>
                <c:pt idx="1">
                  <c:v>62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NittyGrittySheet!$B$196:$F$196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NittyGrittySheet!$B$199:$F$199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NittyGrittySheet!$B$196:$F$196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NittyGrittySheet!$B$201:$F$201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NittyGrittySheet!$B$196:$F$196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NittyGrittySheet!$B$202:$F$202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NittyGrittySheet!$B$196:$F$196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NittyGrittySheet!$B$203:$F$203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NittyGrittySheet!$B$196:$F$196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NittyGrittySheet!$B$204:$F$204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NittyGrittySheet!$B$196:$F$196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NittyGrittySheet!$B$205:$F$205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NittyGrittySheet!$B$196:$F$196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NittyGrittySheet!$B$206:$F$206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NittyGrittySheet!$B$196:$F$196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NittyGrittySheet!$B$207:$F$207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150</c:v>
                      </c:pt>
                      <c:pt idx="1">
                        <c:v>150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0.42009999999999997</c:v>
                </c:pt>
                <c:pt idx="3">
                  <c:v>0.4541</c:v>
                </c:pt>
                <c:pt idx="4">
                  <c:v>0.46539999999999998</c:v>
                </c:pt>
                <c:pt idx="5">
                  <c:v>0.78300000000000003</c:v>
                </c:pt>
                <c:pt idx="6">
                  <c:v>0.86380000000000001</c:v>
                </c:pt>
                <c:pt idx="7">
                  <c:v>0.91469999999999996</c:v>
                </c:pt>
                <c:pt idx="8">
                  <c:v>0.96619999999999995</c:v>
                </c:pt>
                <c:pt idx="9">
                  <c:v>0.98069999999999991</c:v>
                </c:pt>
                <c:pt idx="10">
                  <c:v>0.99029999999999996</c:v>
                </c:pt>
                <c:pt idx="11">
                  <c:v>1</c:v>
                </c:pt>
                <c:pt idx="12">
                  <c:v>0.99519999999999997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0.20630000000000001</c:v>
                </c:pt>
                <c:pt idx="2">
                  <c:v>0.27510000000000001</c:v>
                </c:pt>
                <c:pt idx="3">
                  <c:v>0.43919999999999998</c:v>
                </c:pt>
                <c:pt idx="4">
                  <c:v>0.46029999999999999</c:v>
                </c:pt>
                <c:pt idx="5">
                  <c:v>0.71430000000000005</c:v>
                </c:pt>
                <c:pt idx="6">
                  <c:v>0.88360000000000005</c:v>
                </c:pt>
                <c:pt idx="7">
                  <c:v>0.94710000000000005</c:v>
                </c:pt>
                <c:pt idx="8">
                  <c:v>0.96299999999999997</c:v>
                </c:pt>
                <c:pt idx="9">
                  <c:v>0.98409999999999997</c:v>
                </c:pt>
                <c:pt idx="10">
                  <c:v>0.98939999999999995</c:v>
                </c:pt>
                <c:pt idx="11">
                  <c:v>0.99470000000000003</c:v>
                </c:pt>
                <c:pt idx="12">
                  <c:v>0.99470000000000003</c:v>
                </c:pt>
                <c:pt idx="13">
                  <c:v>0.99470000000000003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0.36199999999999999</c:v>
                </c:pt>
                <c:pt idx="2">
                  <c:v>0.41720000000000002</c:v>
                </c:pt>
                <c:pt idx="3">
                  <c:v>0.4294</c:v>
                </c:pt>
                <c:pt idx="4">
                  <c:v>0.56440000000000001</c:v>
                </c:pt>
                <c:pt idx="5">
                  <c:v>0.68100000000000005</c:v>
                </c:pt>
                <c:pt idx="6">
                  <c:v>0.83440000000000003</c:v>
                </c:pt>
                <c:pt idx="7">
                  <c:v>0.95089999999999997</c:v>
                </c:pt>
                <c:pt idx="8">
                  <c:v>0.96930000000000005</c:v>
                </c:pt>
                <c:pt idx="9">
                  <c:v>0.97550000000000003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0.15129999999999999</c:v>
                </c:pt>
                <c:pt idx="2">
                  <c:v>0.2039</c:v>
                </c:pt>
                <c:pt idx="3">
                  <c:v>0.36180000000000001</c:v>
                </c:pt>
                <c:pt idx="4">
                  <c:v>0.38819999999999999</c:v>
                </c:pt>
                <c:pt idx="5">
                  <c:v>0.54610000000000003</c:v>
                </c:pt>
                <c:pt idx="6">
                  <c:v>0.68420000000000003</c:v>
                </c:pt>
                <c:pt idx="7">
                  <c:v>0.94740000000000002</c:v>
                </c:pt>
                <c:pt idx="8">
                  <c:v>0.96709999999999996</c:v>
                </c:pt>
                <c:pt idx="9">
                  <c:v>0.98029999999999995</c:v>
                </c:pt>
                <c:pt idx="10">
                  <c:v>0.98680000000000001</c:v>
                </c:pt>
                <c:pt idx="11">
                  <c:v>0.98680000000000001</c:v>
                </c:pt>
                <c:pt idx="12">
                  <c:v>0.98680000000000001</c:v>
                </c:pt>
                <c:pt idx="13">
                  <c:v>0.98680000000000001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0.20130000000000001</c:v>
                </c:pt>
                <c:pt idx="1">
                  <c:v>0.38990000000000002</c:v>
                </c:pt>
                <c:pt idx="2">
                  <c:v>0.42770000000000002</c:v>
                </c:pt>
                <c:pt idx="3">
                  <c:v>0.44650000000000001</c:v>
                </c:pt>
                <c:pt idx="4">
                  <c:v>0.47170000000000001</c:v>
                </c:pt>
                <c:pt idx="5">
                  <c:v>0.49059999999999998</c:v>
                </c:pt>
                <c:pt idx="6">
                  <c:v>0.71699999999999997</c:v>
                </c:pt>
                <c:pt idx="7">
                  <c:v>0.93710000000000004</c:v>
                </c:pt>
                <c:pt idx="8">
                  <c:v>0.9748</c:v>
                </c:pt>
                <c:pt idx="9">
                  <c:v>0.98109999999999997</c:v>
                </c:pt>
                <c:pt idx="10">
                  <c:v>0.99370000000000003</c:v>
                </c:pt>
                <c:pt idx="11">
                  <c:v>0.99370000000000003</c:v>
                </c:pt>
                <c:pt idx="12">
                  <c:v>0.99370000000000003</c:v>
                </c:pt>
                <c:pt idx="13">
                  <c:v>0.99370000000000003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  <c:pt idx="0">
                  <c:v>0.19089999999999999</c:v>
                </c:pt>
                <c:pt idx="1">
                  <c:v>0.23769999999999999</c:v>
                </c:pt>
                <c:pt idx="2">
                  <c:v>0.2432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NittyGrittySheet!$B$210:$F$210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NittyGrittySheet!$B$211:$F$211</c:f>
              <c:numCache>
                <c:formatCode>0.00%</c:formatCode>
                <c:ptCount val="5"/>
                <c:pt idx="0">
                  <c:v>0.23180000000000001</c:v>
                </c:pt>
                <c:pt idx="1">
                  <c:v>0.22869999999999999</c:v>
                </c:pt>
                <c:pt idx="2">
                  <c:v>0.23769999999999999</c:v>
                </c:pt>
                <c:pt idx="3">
                  <c:v>0.2387</c:v>
                </c:pt>
                <c:pt idx="4">
                  <c:v>0.2432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NittyGrittySheet!$B$213:$F$213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NittyGrittySheet!$B$214:$F$214</c:f>
              <c:numCache>
                <c:formatCode>General</c:formatCode>
                <c:ptCount val="5"/>
                <c:pt idx="0">
                  <c:v>51</c:v>
                </c:pt>
                <c:pt idx="1">
                  <c:v>51</c:v>
                </c:pt>
                <c:pt idx="2">
                  <c:v>53</c:v>
                </c:pt>
                <c:pt idx="3">
                  <c:v>53</c:v>
                </c:pt>
                <c:pt idx="4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NittyGrittySheet!$B$213:$F$213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NittyGrittySheet!$B$215:$F$215</c:f>
              <c:numCache>
                <c:formatCode>General</c:formatCode>
                <c:ptCount val="5"/>
                <c:pt idx="0">
                  <c:v>74</c:v>
                </c:pt>
                <c:pt idx="1">
                  <c:v>75</c:v>
                </c:pt>
                <c:pt idx="2">
                  <c:v>73</c:v>
                </c:pt>
                <c:pt idx="3">
                  <c:v>72</c:v>
                </c:pt>
                <c:pt idx="4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NittyGrittySheet!$B$213:$F$213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NittyGrittySheet!$B$217:$F$217</c:f>
              <c:numCache>
                <c:formatCode>General</c:formatCode>
                <c:ptCount val="5"/>
                <c:pt idx="0">
                  <c:v>95</c:v>
                </c:pt>
                <c:pt idx="1">
                  <c:v>97</c:v>
                </c:pt>
                <c:pt idx="2">
                  <c:v>97</c:v>
                </c:pt>
                <c:pt idx="3">
                  <c:v>97</c:v>
                </c:pt>
                <c:pt idx="4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NittyGrittySheet!$B$213:$F$213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NittyGrittySheet!$B$216:$F$216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NittyGrittySheet!$B$213:$F$213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NittyGrittySheet!$B$218:$F$218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NittyGrittySheet!$B$213:$F$213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NittyGrittySheet!$B$219:$F$219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NittyGrittySheet!$B$213:$F$213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NittyGrittySheet!$B$220:$F$220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NittyGrittySheet!$B$213:$F$213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NittyGrittySheet!$B$221:$F$221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NittyGrittySheet!$B$213:$F$213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NittyGrittySheet!$B$222:$F$222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NittyGrittySheet!$B$213:$F$213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NittyGrittySheet!$B$223:$F$223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NittyGrittySheet!$B$213:$F$213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NittyGrittySheet!$B$224:$F$224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228</c:v>
                      </c:pt>
                      <c:pt idx="1">
                        <c:v>231</c:v>
                      </c:pt>
                      <c:pt idx="2">
                        <c:v>231</c:v>
                      </c:pt>
                      <c:pt idx="3">
                        <c:v>230</c:v>
                      </c:pt>
                      <c:pt idx="4">
                        <c:v>230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0.34250000000000003</c:v>
                </c:pt>
                <c:pt idx="4">
                  <c:v>0.43840000000000001</c:v>
                </c:pt>
                <c:pt idx="5">
                  <c:v>0.47949999999999998</c:v>
                </c:pt>
                <c:pt idx="6">
                  <c:v>0.51390000000000002</c:v>
                </c:pt>
                <c:pt idx="7">
                  <c:v>0.60870000000000002</c:v>
                </c:pt>
                <c:pt idx="8">
                  <c:v>0.66669999999999996</c:v>
                </c:pt>
                <c:pt idx="9">
                  <c:v>0.72459999999999991</c:v>
                </c:pt>
                <c:pt idx="10">
                  <c:v>0.79409999999999992</c:v>
                </c:pt>
                <c:pt idx="11">
                  <c:v>0.88239999999999996</c:v>
                </c:pt>
                <c:pt idx="12">
                  <c:v>0.89549999999999996</c:v>
                </c:pt>
                <c:pt idx="13">
                  <c:v>0.89549999999999996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5.7500000000000002E-2</c:v>
                </c:pt>
                <c:pt idx="1">
                  <c:v>0.10340000000000001</c:v>
                </c:pt>
                <c:pt idx="2">
                  <c:v>0.2414</c:v>
                </c:pt>
                <c:pt idx="3">
                  <c:v>0.31030000000000002</c:v>
                </c:pt>
                <c:pt idx="4">
                  <c:v>0.33329999999999999</c:v>
                </c:pt>
                <c:pt idx="5">
                  <c:v>0.42530000000000001</c:v>
                </c:pt>
                <c:pt idx="6">
                  <c:v>0.50570000000000004</c:v>
                </c:pt>
                <c:pt idx="7">
                  <c:v>0.54020000000000001</c:v>
                </c:pt>
                <c:pt idx="8">
                  <c:v>0.60919999999999996</c:v>
                </c:pt>
                <c:pt idx="9">
                  <c:v>0.70109999999999995</c:v>
                </c:pt>
                <c:pt idx="10">
                  <c:v>0.79310000000000003</c:v>
                </c:pt>
                <c:pt idx="11">
                  <c:v>0.8276</c:v>
                </c:pt>
                <c:pt idx="12">
                  <c:v>0.86209999999999998</c:v>
                </c:pt>
                <c:pt idx="13">
                  <c:v>0.87360000000000004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5.33E-2</c:v>
                </c:pt>
                <c:pt idx="1">
                  <c:v>0.08</c:v>
                </c:pt>
                <c:pt idx="2">
                  <c:v>0.25330000000000003</c:v>
                </c:pt>
                <c:pt idx="3">
                  <c:v>0.36</c:v>
                </c:pt>
                <c:pt idx="4">
                  <c:v>0.49330000000000002</c:v>
                </c:pt>
                <c:pt idx="5">
                  <c:v>0.50670000000000004</c:v>
                </c:pt>
                <c:pt idx="6">
                  <c:v>0.5333</c:v>
                </c:pt>
                <c:pt idx="7">
                  <c:v>0.57330000000000003</c:v>
                </c:pt>
                <c:pt idx="8">
                  <c:v>0.68</c:v>
                </c:pt>
                <c:pt idx="9">
                  <c:v>0.73329999999999995</c:v>
                </c:pt>
                <c:pt idx="10">
                  <c:v>0.8</c:v>
                </c:pt>
                <c:pt idx="11">
                  <c:v>0.85329999999999995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3.2300000000000002E-2</c:v>
                </c:pt>
                <c:pt idx="1">
                  <c:v>6.4500000000000002E-2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0.94350000000000001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5.8400000000000001E-2</c:v>
                </c:pt>
                <c:pt idx="1">
                  <c:v>0.2336</c:v>
                </c:pt>
                <c:pt idx="2">
                  <c:v>0.34310000000000002</c:v>
                </c:pt>
                <c:pt idx="3">
                  <c:v>0.48180000000000001</c:v>
                </c:pt>
                <c:pt idx="4">
                  <c:v>0.51090000000000002</c:v>
                </c:pt>
                <c:pt idx="5">
                  <c:v>0.59119999999999995</c:v>
                </c:pt>
                <c:pt idx="6">
                  <c:v>0.64959999999999996</c:v>
                </c:pt>
                <c:pt idx="7">
                  <c:v>0.70799999999999996</c:v>
                </c:pt>
                <c:pt idx="8">
                  <c:v>0.76639999999999997</c:v>
                </c:pt>
                <c:pt idx="9">
                  <c:v>0.86860000000000004</c:v>
                </c:pt>
                <c:pt idx="10">
                  <c:v>0.92700000000000005</c:v>
                </c:pt>
                <c:pt idx="11">
                  <c:v>0.95620000000000005</c:v>
                </c:pt>
                <c:pt idx="12">
                  <c:v>0.9708</c:v>
                </c:pt>
                <c:pt idx="13">
                  <c:v>0.98540000000000005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  <c:pt idx="0">
                  <c:v>5.2600000000000001E-2</c:v>
                </c:pt>
                <c:pt idx="1">
                  <c:v>9.3799999999999994E-2</c:v>
                </c:pt>
                <c:pt idx="2">
                  <c:v>0.13539999999999999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NittyGrittySheet!$B$227:$F$227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NittyGrittySheet!$B$228:$F$228</c:f>
              <c:numCache>
                <c:formatCode>0.00%</c:formatCode>
                <c:ptCount val="5"/>
                <c:pt idx="0">
                  <c:v>9.3800000000000008E-2</c:v>
                </c:pt>
                <c:pt idx="1">
                  <c:v>9.3800000000000008E-2</c:v>
                </c:pt>
                <c:pt idx="2">
                  <c:v>9.3800000000000008E-2</c:v>
                </c:pt>
                <c:pt idx="3">
                  <c:v>0.1042</c:v>
                </c:pt>
                <c:pt idx="4">
                  <c:v>0.13539999999999999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NittyGrittySheet!$B$230:$F$230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NittyGrittySheet!$B$231:$F$231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NittyGrittySheet!$B$230:$F$230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NittyGrittySheet!$B$232:$F$232</c:f>
              <c:numCache>
                <c:formatCode>General</c:formatCode>
                <c:ptCount val="5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63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NittyGrittySheet!$B$230:$F$230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NittyGrittySheet!$B$234:$F$234</c:f>
              <c:numCache>
                <c:formatCode>General</c:formatCode>
                <c:ptCount val="5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NittyGrittySheet!$B$230:$F$230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NittyGrittySheet!$B$233:$F$233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NittyGrittySheet!$B$230:$F$230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NittyGrittySheet!$B$235:$F$235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NittyGrittySheet!$B$230:$F$230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NittyGrittySheet!$B$236:$F$236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NittyGrittySheet!$B$230:$F$230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NittyGrittySheet!$B$237:$F$237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NittyGrittySheet!$B$230:$F$230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NittyGrittySheet!$B$238:$F$238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NittyGrittySheet!$B$230:$F$230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NittyGrittySheet!$B$239:$F$239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NittyGrittySheet!$B$230:$F$230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NittyGrittySheet!$B$240:$F$240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NittyGrittySheet!$B$230:$F$230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NittyGrittySheet!$B$241:$F$241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102</c:v>
                      </c:pt>
                      <c:pt idx="1">
                        <c:v>102</c:v>
                      </c:pt>
                      <c:pt idx="2">
                        <c:v>102</c:v>
                      </c:pt>
                      <c:pt idx="3">
                        <c:v>102</c:v>
                      </c:pt>
                      <c:pt idx="4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0.14000000000000001</c:v>
                </c:pt>
                <c:pt idx="3">
                  <c:v>0.20619999999999999</c:v>
                </c:pt>
                <c:pt idx="4">
                  <c:v>0.25509999999999999</c:v>
                </c:pt>
                <c:pt idx="5">
                  <c:v>0.4078</c:v>
                </c:pt>
                <c:pt idx="6">
                  <c:v>0.4466</c:v>
                </c:pt>
                <c:pt idx="7">
                  <c:v>0.54459999999999997</c:v>
                </c:pt>
                <c:pt idx="8">
                  <c:v>0.66990000000000005</c:v>
                </c:pt>
                <c:pt idx="9">
                  <c:v>0.79120000000000001</c:v>
                </c:pt>
                <c:pt idx="10">
                  <c:v>0.81519999999999992</c:v>
                </c:pt>
                <c:pt idx="11">
                  <c:v>0.91010000000000002</c:v>
                </c:pt>
                <c:pt idx="12">
                  <c:v>0.89890000000000003</c:v>
                </c:pt>
                <c:pt idx="13">
                  <c:v>0.91010000000000002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4.3999999999999997E-2</c:v>
                </c:pt>
                <c:pt idx="1">
                  <c:v>7.6899999999999996E-2</c:v>
                </c:pt>
                <c:pt idx="2">
                  <c:v>9.8900000000000002E-2</c:v>
                </c:pt>
                <c:pt idx="3">
                  <c:v>0.13189999999999999</c:v>
                </c:pt>
                <c:pt idx="4">
                  <c:v>0.1429</c:v>
                </c:pt>
                <c:pt idx="5">
                  <c:v>0.31869999999999998</c:v>
                </c:pt>
                <c:pt idx="6">
                  <c:v>0.3407</c:v>
                </c:pt>
                <c:pt idx="7">
                  <c:v>0.53849999999999998</c:v>
                </c:pt>
                <c:pt idx="8">
                  <c:v>0.64839999999999998</c:v>
                </c:pt>
                <c:pt idx="9">
                  <c:v>0.70330000000000004</c:v>
                </c:pt>
                <c:pt idx="10">
                  <c:v>0.81320000000000003</c:v>
                </c:pt>
                <c:pt idx="11">
                  <c:v>0.8901</c:v>
                </c:pt>
                <c:pt idx="12">
                  <c:v>0.94510000000000005</c:v>
                </c:pt>
                <c:pt idx="13">
                  <c:v>0.94510000000000005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9.5699999999999993E-2</c:v>
                </c:pt>
                <c:pt idx="1">
                  <c:v>0.15959999999999999</c:v>
                </c:pt>
                <c:pt idx="2">
                  <c:v>0.18090000000000001</c:v>
                </c:pt>
                <c:pt idx="3">
                  <c:v>0.27660000000000001</c:v>
                </c:pt>
                <c:pt idx="4">
                  <c:v>0.28720000000000001</c:v>
                </c:pt>
                <c:pt idx="5">
                  <c:v>0.37230000000000002</c:v>
                </c:pt>
                <c:pt idx="6">
                  <c:v>0.43619999999999998</c:v>
                </c:pt>
                <c:pt idx="7">
                  <c:v>0.61699999999999999</c:v>
                </c:pt>
                <c:pt idx="8">
                  <c:v>0.67020000000000002</c:v>
                </c:pt>
                <c:pt idx="9">
                  <c:v>0.6915</c:v>
                </c:pt>
                <c:pt idx="10">
                  <c:v>0.71279999999999999</c:v>
                </c:pt>
                <c:pt idx="11">
                  <c:v>0.88300000000000001</c:v>
                </c:pt>
                <c:pt idx="12">
                  <c:v>0.90429999999999999</c:v>
                </c:pt>
                <c:pt idx="13">
                  <c:v>0.90429999999999999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6.9000000000000006E-2</c:v>
                </c:pt>
                <c:pt idx="1">
                  <c:v>0.10340000000000001</c:v>
                </c:pt>
                <c:pt idx="2">
                  <c:v>0.13789999999999999</c:v>
                </c:pt>
                <c:pt idx="3">
                  <c:v>0.2069</c:v>
                </c:pt>
                <c:pt idx="4">
                  <c:v>0.2414</c:v>
                </c:pt>
                <c:pt idx="5">
                  <c:v>0.33329999999999999</c:v>
                </c:pt>
                <c:pt idx="6">
                  <c:v>0.35630000000000001</c:v>
                </c:pt>
                <c:pt idx="7">
                  <c:v>0.66669999999999996</c:v>
                </c:pt>
                <c:pt idx="8">
                  <c:v>0.68969999999999998</c:v>
                </c:pt>
                <c:pt idx="9">
                  <c:v>0.72409999999999997</c:v>
                </c:pt>
                <c:pt idx="10">
                  <c:v>0.81610000000000005</c:v>
                </c:pt>
                <c:pt idx="11">
                  <c:v>0.93100000000000005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6.9800000000000001E-2</c:v>
                </c:pt>
                <c:pt idx="1">
                  <c:v>0.12790000000000001</c:v>
                </c:pt>
                <c:pt idx="2">
                  <c:v>0.19769999999999999</c:v>
                </c:pt>
                <c:pt idx="3">
                  <c:v>0.3372</c:v>
                </c:pt>
                <c:pt idx="4">
                  <c:v>0.36049999999999999</c:v>
                </c:pt>
                <c:pt idx="5">
                  <c:v>0.47670000000000001</c:v>
                </c:pt>
                <c:pt idx="6">
                  <c:v>0.52329999999999999</c:v>
                </c:pt>
                <c:pt idx="7">
                  <c:v>0.73260000000000003</c:v>
                </c:pt>
                <c:pt idx="8">
                  <c:v>0.8256</c:v>
                </c:pt>
                <c:pt idx="9">
                  <c:v>0.90700000000000003</c:v>
                </c:pt>
                <c:pt idx="10">
                  <c:v>0.96509999999999996</c:v>
                </c:pt>
                <c:pt idx="11">
                  <c:v>1.0116000000000001</c:v>
                </c:pt>
                <c:pt idx="12">
                  <c:v>1.0116000000000001</c:v>
                </c:pt>
                <c:pt idx="13">
                  <c:v>1.0116000000000001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  <c:pt idx="0">
                  <c:v>5.4899999999999997E-2</c:v>
                </c:pt>
                <c:pt idx="1">
                  <c:v>8.7900000000000006E-2</c:v>
                </c:pt>
                <c:pt idx="2">
                  <c:v>9.8900000000000002E-2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NittyGrittySheet!$B$244:$F$244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NittyGrittySheet!$B$245:$F$245</c:f>
              <c:numCache>
                <c:formatCode>0.00%</c:formatCode>
                <c:ptCount val="5"/>
                <c:pt idx="0">
                  <c:v>8.7899999999999992E-2</c:v>
                </c:pt>
                <c:pt idx="1">
                  <c:v>8.7899999999999992E-2</c:v>
                </c:pt>
                <c:pt idx="2">
                  <c:v>8.7899999999999992E-2</c:v>
                </c:pt>
                <c:pt idx="3">
                  <c:v>8.7899999999999992E-2</c:v>
                </c:pt>
                <c:pt idx="4">
                  <c:v>9.8900000000000002E-2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NittyGrittySheet!$B$247:$F$247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NittyGrittySheet!$B$248:$F$248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NittyGrittySheet!$B$247:$F$247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NittyGrittySheet!$B$249:$F$249</c:f>
              <c:numCache>
                <c:formatCode>General</c:formatCode>
                <c:ptCount val="5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NittyGrittySheet!$B$247:$F$247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NittyGrittySheet!$B$251:$F$251</c:f>
              <c:numCache>
                <c:formatCode>General</c:formatCode>
                <c:ptCount val="5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NittyGrittySheet!$B$247:$F$247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NittyGrittySheet!$B$250:$F$250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NittyGrittySheet!$B$247:$F$247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NittyGrittySheet!$B$252:$F$252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NittyGrittySheet!$B$247:$F$247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NittyGrittySheet!$B$253:$F$253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NittyGrittySheet!$B$247:$F$247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NittyGrittySheet!$B$254:$F$254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NittyGrittySheet!$B$247:$F$247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NittyGrittySheet!$B$255:$F$255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NittyGrittySheet!$B$247:$F$247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NittyGrittySheet!$B$256:$F$256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NittyGrittySheet!$B$247:$F$247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NittyGrittySheet!$B$257:$F$257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NittyGrittySheet!$B$247:$F$247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NittyGrittySheet!$B$258:$F$258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2.9399999999999999E-2</c:v>
                </c:pt>
                <c:pt idx="3">
                  <c:v>2.9399999999999999E-2</c:v>
                </c:pt>
                <c:pt idx="4">
                  <c:v>6.25E-2</c:v>
                </c:pt>
                <c:pt idx="5">
                  <c:v>6.4500000000000002E-2</c:v>
                </c:pt>
                <c:pt idx="6">
                  <c:v>0.1515</c:v>
                </c:pt>
                <c:pt idx="7">
                  <c:v>0.25</c:v>
                </c:pt>
                <c:pt idx="8">
                  <c:v>0.45829999999999999</c:v>
                </c:pt>
                <c:pt idx="9">
                  <c:v>0.54170000000000007</c:v>
                </c:pt>
                <c:pt idx="10">
                  <c:v>0.68180000000000007</c:v>
                </c:pt>
                <c:pt idx="11">
                  <c:v>0.86360000000000003</c:v>
                </c:pt>
                <c:pt idx="12">
                  <c:v>0.86360000000000003</c:v>
                </c:pt>
                <c:pt idx="13">
                  <c:v>0.95240000000000002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6.6699999999999995E-2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0.63329999999999997</c:v>
                </c:pt>
                <c:pt idx="10">
                  <c:v>0.73329999999999995</c:v>
                </c:pt>
                <c:pt idx="11">
                  <c:v>0.8</c:v>
                </c:pt>
                <c:pt idx="12">
                  <c:v>0.83330000000000004</c:v>
                </c:pt>
                <c:pt idx="13">
                  <c:v>0.86670000000000003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9.0899999999999995E-2</c:v>
                </c:pt>
                <c:pt idx="1">
                  <c:v>9.0899999999999995E-2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0.21210000000000001</c:v>
                </c:pt>
                <c:pt idx="6">
                  <c:v>0.2727</c:v>
                </c:pt>
                <c:pt idx="7">
                  <c:v>0.51519999999999999</c:v>
                </c:pt>
                <c:pt idx="8">
                  <c:v>0.66669999999999996</c:v>
                </c:pt>
                <c:pt idx="9">
                  <c:v>0.75760000000000005</c:v>
                </c:pt>
                <c:pt idx="10">
                  <c:v>0.81820000000000004</c:v>
                </c:pt>
                <c:pt idx="11">
                  <c:v>0.87880000000000003</c:v>
                </c:pt>
                <c:pt idx="12">
                  <c:v>0.90910000000000002</c:v>
                </c:pt>
                <c:pt idx="13">
                  <c:v>0.90910000000000002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3.3300000000000003E-2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0.26669999999999999</c:v>
                </c:pt>
                <c:pt idx="8">
                  <c:v>0.43330000000000002</c:v>
                </c:pt>
                <c:pt idx="9">
                  <c:v>0.43330000000000002</c:v>
                </c:pt>
                <c:pt idx="10">
                  <c:v>0.7</c:v>
                </c:pt>
                <c:pt idx="11">
                  <c:v>0.7</c:v>
                </c:pt>
                <c:pt idx="12">
                  <c:v>0.73329999999999995</c:v>
                </c:pt>
                <c:pt idx="13">
                  <c:v>0.73329999999999995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2.9399999999999999E-2</c:v>
                </c:pt>
                <c:pt idx="1">
                  <c:v>2.9399999999999999E-2</c:v>
                </c:pt>
                <c:pt idx="2">
                  <c:v>2.9399999999999999E-2</c:v>
                </c:pt>
                <c:pt idx="3">
                  <c:v>5.8799999999999998E-2</c:v>
                </c:pt>
                <c:pt idx="4">
                  <c:v>0.1176</c:v>
                </c:pt>
                <c:pt idx="5">
                  <c:v>0.17649999999999999</c:v>
                </c:pt>
                <c:pt idx="6">
                  <c:v>0.26469999999999999</c:v>
                </c:pt>
                <c:pt idx="7">
                  <c:v>0.38240000000000002</c:v>
                </c:pt>
                <c:pt idx="8">
                  <c:v>0.47060000000000002</c:v>
                </c:pt>
                <c:pt idx="9">
                  <c:v>0.52939999999999998</c:v>
                </c:pt>
                <c:pt idx="10">
                  <c:v>0.79410000000000003</c:v>
                </c:pt>
                <c:pt idx="11">
                  <c:v>0.91180000000000005</c:v>
                </c:pt>
                <c:pt idx="12">
                  <c:v>0.91180000000000005</c:v>
                </c:pt>
                <c:pt idx="13">
                  <c:v>0.91180000000000005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NittyGrittySheet!$B$261:$F$261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NittyGrittySheet!$B$262:$F$262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NittyGrittySheet!$B$264:$F$264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NittyGrittySheet!$B$265:$F$265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NittyGrittySheet!$B$264:$F$264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NittyGrittySheet!$B$266:$F$266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NittyGrittySheet!$B$264:$F$264</c:f>
              <c:strCache>
                <c:ptCount val="5"/>
                <c:pt idx="0">
                  <c:v>9/18/2026</c:v>
                </c:pt>
                <c:pt idx="1">
                  <c:v>9/25/2026</c:v>
                </c:pt>
                <c:pt idx="2">
                  <c:v>9/30/2026</c:v>
                </c:pt>
                <c:pt idx="3">
                  <c:v>10/2/2026</c:v>
                </c:pt>
                <c:pt idx="4">
                  <c:v>10/9/2026</c:v>
                </c:pt>
              </c:strCache>
            </c:strRef>
          </c:cat>
          <c:val>
            <c:numRef>
              <c:f>NittyGrittySheet!$B$268:$F$268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NittyGrittySheet!$B$264:$F$264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NittyGrittySheet!$B$267:$F$267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NittyGrittySheet!$B$264:$F$264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NittyGrittySheet!$B$269:$F$269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NittyGrittySheet!$B$264:$F$264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NittyGrittySheet!$B$270:$F$270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NittyGrittySheet!$B$264:$F$264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NittyGrittySheet!$B$271:$F$271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NittyGrittySheet!$B$264:$F$264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NittyGrittySheet!$B$272:$F$272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NittyGrittySheet!$B$264:$F$264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NittyGrittySheet!$B$273:$F$273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NittyGrittySheet!$B$264:$F$264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NittyGrittySheet!$B$274:$F$274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NittyGrittySheet!$B$264:$F$264</c15:sqref>
                        </c15:formulaRef>
                      </c:ext>
                    </c:extLst>
                    <c:strCache>
                      <c:ptCount val="5"/>
                      <c:pt idx="0">
                        <c:v>9/18/2026</c:v>
                      </c:pt>
                      <c:pt idx="1">
                        <c:v>9/25/2026</c:v>
                      </c:pt>
                      <c:pt idx="2">
                        <c:v>9/30/2026</c:v>
                      </c:pt>
                      <c:pt idx="3">
                        <c:v>10/2/2026</c:v>
                      </c:pt>
                      <c:pt idx="4">
                        <c:v>10/9/2026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NittyGrittySheet!$B$275:$F$275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51</c:v>
                      </c:pt>
                      <c:pt idx="1">
                        <c:v>51</c:v>
                      </c:pt>
                      <c:pt idx="2">
                        <c:v>50</c:v>
                      </c:pt>
                      <c:pt idx="3">
                        <c:v>50</c:v>
                      </c:pt>
                      <c:pt idx="4">
                        <c:v>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7" displayName="Table37" ref="M24:S38" totalsRowShown="0" dataDxfId="425">
  <autoFilter ref="M24:S38" xr:uid="{00000000-0009-0000-0100-000001000000}"/>
  <tableColumns count="7">
    <tableColumn id="1" xr3:uid="{00000000-0010-0000-0000-000001000000}" name="Month" dataDxfId="424"/>
    <tableColumn id="8" xr3:uid="{00000000-0010-0000-0000-000008000000}" name="2027" dataDxfId="423" dataCellStyle="Percent"/>
    <tableColumn id="2" xr3:uid="{00000000-0010-0000-0000-000002000000}" name="2026" dataDxfId="422"/>
    <tableColumn id="3" xr3:uid="{00000000-0010-0000-0000-000003000000}" name="2025" dataDxfId="421"/>
    <tableColumn id="4" xr3:uid="{00000000-0010-0000-0000-000004000000}" name="2024" dataDxfId="420"/>
    <tableColumn id="5" xr3:uid="{00000000-0010-0000-0000-000005000000}" name="2023" dataDxfId="419"/>
    <tableColumn id="6" xr3:uid="{00000000-0010-0000-0000-000006000000}" name="2022" dataDxfId="4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K3:N19" totalsRowShown="0" headerRowDxfId="417" dataDxfId="416" tableBorderDxfId="415">
  <autoFilter ref="K3:N19" xr:uid="{00000000-0009-0000-0100-000002000000}"/>
  <tableColumns count="4">
    <tableColumn id="1" xr3:uid="{00000000-0010-0000-0100-000001000000}" name=" Month" dataDxfId="414"/>
    <tableColumn id="2" xr3:uid="{00000000-0010-0000-0100-000002000000}" name="Accepted Offers" dataDxfId="413"/>
    <tableColumn id="3" xr3:uid="{00000000-0010-0000-0100-000003000000}" name="Running Total" dataDxfId="412"/>
    <tableColumn id="4" xr3:uid="{00000000-0010-0000-0100-000004000000}" name="% Placed" dataDxfId="41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5" displayName="Table15" ref="P3:S19" totalsRowShown="0" headerRowDxfId="410" dataDxfId="409">
  <autoFilter ref="P3:S19" xr:uid="{00000000-0009-0000-0100-000003000000}"/>
  <tableColumns count="4">
    <tableColumn id="1" xr3:uid="{00000000-0010-0000-0200-000001000000}" name=" Month" dataDxfId="408"/>
    <tableColumn id="2" xr3:uid="{00000000-0010-0000-0200-000002000000}" name="Accepted Offers" dataDxfId="407"/>
    <tableColumn id="3" xr3:uid="{00000000-0010-0000-0200-000003000000}" name="Running Total" dataDxfId="406"/>
    <tableColumn id="4" xr3:uid="{00000000-0010-0000-0200-000004000000}" name="% Placed" dataDxfId="405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3" displayName="Table33" ref="U3:X19" totalsRowShown="0" headerRowDxfId="404" dataDxfId="403">
  <autoFilter ref="U3:X19" xr:uid="{00000000-0009-0000-0100-000004000000}"/>
  <tableColumns count="4">
    <tableColumn id="1" xr3:uid="{00000000-0010-0000-0300-000001000000}" name=" Month" dataDxfId="402"/>
    <tableColumn id="2" xr3:uid="{00000000-0010-0000-0300-000002000000}" name="Accepted Offers" dataDxfId="401"/>
    <tableColumn id="3" xr3:uid="{00000000-0010-0000-0300-000003000000}" name="Running Total" dataDxfId="400"/>
    <tableColumn id="4" xr3:uid="{00000000-0010-0000-0300-000004000000}" name="% Placed" dataDxfId="399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4" displayName="Table34" ref="Z3:AC19" totalsRowShown="0" headerRowDxfId="398" dataDxfId="397">
  <autoFilter ref="Z3:AC19" xr:uid="{00000000-0009-0000-0100-000005000000}"/>
  <tableColumns count="4">
    <tableColumn id="1" xr3:uid="{00000000-0010-0000-0400-000001000000}" name="Placement Month" dataDxfId="396"/>
    <tableColumn id="2" xr3:uid="{00000000-0010-0000-0400-000002000000}" name="Total Students" dataDxfId="395"/>
    <tableColumn id="3" xr3:uid="{00000000-0010-0000-0400-000003000000}" name="Running Total" dataDxfId="394"/>
    <tableColumn id="4" xr3:uid="{00000000-0010-0000-0400-000004000000}" name="% Placed" dataDxfId="393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5" displayName="Table35" ref="AE3:AH19" totalsRowShown="0" headerRowDxfId="392" dataDxfId="391">
  <autoFilter ref="AE3:AH19" xr:uid="{00000000-0009-0000-0100-000006000000}"/>
  <tableColumns count="4">
    <tableColumn id="1" xr3:uid="{00000000-0010-0000-0500-000001000000}" name="Placement Month" dataDxfId="390"/>
    <tableColumn id="2" xr3:uid="{00000000-0010-0000-0500-000002000000}" name="Total Students" dataDxfId="389"/>
    <tableColumn id="3" xr3:uid="{00000000-0010-0000-0500-000003000000}" name="Running Total" dataDxfId="388"/>
    <tableColumn id="4" xr3:uid="{00000000-0010-0000-0500-000004000000}" name="% Placed" dataDxfId="38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337" displayName="Table1337" ref="F3:I19" totalsRowShown="0" headerRowDxfId="386" dataDxfId="385" tableBorderDxfId="384">
  <autoFilter ref="F3:I19" xr:uid="{00000000-0009-0000-0100-000007000000}"/>
  <tableColumns count="4">
    <tableColumn id="1" xr3:uid="{00000000-0010-0000-0600-000001000000}" name="Placement Month" dataDxfId="383"/>
    <tableColumn id="2" xr3:uid="{00000000-0010-0000-0600-000002000000}" name="Accepted Offers" dataDxfId="382"/>
    <tableColumn id="3" xr3:uid="{00000000-0010-0000-0600-000003000000}" name="Running Total" dataDxfId="381"/>
    <tableColumn id="4" xr3:uid="{00000000-0010-0000-0600-000004000000}" name="% Placed" dataDxfId="38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4" displayName="Table14" ref="A23:F24" totalsRowShown="0" headerRowDxfId="379" dataDxfId="378" tableBorderDxfId="377">
  <autoFilter ref="A23:F24" xr:uid="{00000000-0009-0000-0100-000008000000}"/>
  <tableColumns count="6">
    <tableColumn id="1" xr3:uid="{00000000-0010-0000-0700-000001000000}" name="Placement" dataDxfId="376"/>
    <tableColumn id="2" xr3:uid="{00000000-0010-0000-0700-000002000000}" name="9/18/2026" dataDxfId="375"/>
    <tableColumn id="3" xr3:uid="{00000000-0010-0000-0700-000003000000}" name="9/25/2026" dataDxfId="374"/>
    <tableColumn id="4" xr3:uid="{00000000-0010-0000-0700-000004000000}" name="9/30/2026" dataDxfId="373"/>
    <tableColumn id="5" xr3:uid="{00000000-0010-0000-0700-000005000000}" name="10/2/2026" dataDxfId="372"/>
    <tableColumn id="6" xr3:uid="{00000000-0010-0000-0700-000006000000}" name="10/9/2026" dataDxfId="371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25" displayName="Table25" ref="A26:F37" totalsRowShown="0" headerRowDxfId="370" dataDxfId="369" tableBorderDxfId="368">
  <autoFilter ref="A26:F37" xr:uid="{00000000-0009-0000-0100-000009000000}"/>
  <tableColumns count="6">
    <tableColumn id="1" xr3:uid="{00000000-0010-0000-0800-000001000000}" name="Job Search Status" dataDxfId="367"/>
    <tableColumn id="2" xr3:uid="{00000000-0010-0000-0800-000002000000}" name="9/18/2026" dataDxfId="366"/>
    <tableColumn id="3" xr3:uid="{00000000-0010-0000-0800-000003000000}" name="9/25/2026" dataDxfId="365"/>
    <tableColumn id="4" xr3:uid="{00000000-0010-0000-0800-000004000000}" name="9/30/2026" dataDxfId="364"/>
    <tableColumn id="5" xr3:uid="{00000000-0010-0000-0800-000005000000}" name="10/2/2026" dataDxfId="363"/>
    <tableColumn id="6" xr3:uid="{00000000-0010-0000-0800-000006000000}" name="10/9/2026" dataDxfId="362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2" displayName="Table2" ref="A43:F54" totalsRowShown="0" headerRowDxfId="361" dataDxfId="360" tableBorderDxfId="359">
  <autoFilter ref="A43:F54" xr:uid="{00000000-0009-0000-0100-00000A000000}"/>
  <tableColumns count="6">
    <tableColumn id="1" xr3:uid="{00000000-0010-0000-0900-000001000000}" name="Job Search Status" dataDxfId="358"/>
    <tableColumn id="2" xr3:uid="{00000000-0010-0000-0900-000002000000}" name="9/18/2026" dataDxfId="357"/>
    <tableColumn id="3" xr3:uid="{00000000-0010-0000-0900-000003000000}" name="9/25/2026" dataDxfId="356"/>
    <tableColumn id="4" xr3:uid="{00000000-0010-0000-0900-000004000000}" name="9/30/2026" dataDxfId="355"/>
    <tableColumn id="5" xr3:uid="{00000000-0010-0000-0900-000005000000}" name="10/2/2026" dataDxfId="354"/>
    <tableColumn id="6" xr3:uid="{00000000-0010-0000-0900-000006000000}" name="10/9/2026" dataDxfId="353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" displayName="Table1" ref="A40:F41" totalsRowShown="0" headerRowDxfId="352" dataDxfId="351" tableBorderDxfId="350">
  <autoFilter ref="A40:F41" xr:uid="{00000000-0009-0000-0100-00000B000000}"/>
  <tableColumns count="6">
    <tableColumn id="1" xr3:uid="{00000000-0010-0000-0A00-000001000000}" name="Placement" dataDxfId="349"/>
    <tableColumn id="2" xr3:uid="{00000000-0010-0000-0A00-000002000000}" name="9/18/2026" dataDxfId="348"/>
    <tableColumn id="3" xr3:uid="{00000000-0010-0000-0A00-000003000000}" name="9/25/2026" dataDxfId="347"/>
    <tableColumn id="4" xr3:uid="{00000000-0010-0000-0A00-000004000000}" name="9/30/2026" dataDxfId="346"/>
    <tableColumn id="5" xr3:uid="{00000000-0010-0000-0A00-000005000000}" name="10/2/2026" dataDxfId="345"/>
    <tableColumn id="6" xr3:uid="{00000000-0010-0000-0A00-000006000000}" name="10/9/2026" dataDxfId="344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6" displayName="Table16" ref="A57:F58" totalsRowShown="0" headerRowDxfId="343" dataDxfId="342" tableBorderDxfId="341">
  <autoFilter ref="A57:F58" xr:uid="{00000000-0009-0000-0100-00000C000000}"/>
  <tableColumns count="6">
    <tableColumn id="1" xr3:uid="{00000000-0010-0000-0B00-000001000000}" name="Placement" dataDxfId="340"/>
    <tableColumn id="2" xr3:uid="{00000000-0010-0000-0B00-000002000000}" name="9/18/2026" dataDxfId="339"/>
    <tableColumn id="3" xr3:uid="{00000000-0010-0000-0B00-000003000000}" name="9/25/2026" dataDxfId="338"/>
    <tableColumn id="4" xr3:uid="{00000000-0010-0000-0B00-000004000000}" name="9/30/2026" dataDxfId="337"/>
    <tableColumn id="5" xr3:uid="{00000000-0010-0000-0B00-000005000000}" name="10/2/2026" dataDxfId="336"/>
    <tableColumn id="6" xr3:uid="{00000000-0010-0000-0B00-000006000000}" name="10/9/2026" dataDxfId="335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27" displayName="Table27" ref="A60:F71" totalsRowShown="0" headerRowDxfId="334" dataDxfId="333" tableBorderDxfId="332">
  <autoFilter ref="A60:F71" xr:uid="{00000000-0009-0000-0100-00000D000000}"/>
  <tableColumns count="6">
    <tableColumn id="1" xr3:uid="{00000000-0010-0000-0C00-000001000000}" name="Job Search Status" dataDxfId="331"/>
    <tableColumn id="2" xr3:uid="{00000000-0010-0000-0C00-000002000000}" name="9/18/2026" dataDxfId="330"/>
    <tableColumn id="3" xr3:uid="{00000000-0010-0000-0C00-000003000000}" name="9/25/2026" dataDxfId="329"/>
    <tableColumn id="4" xr3:uid="{00000000-0010-0000-0C00-000004000000}" name="9/30/2026" dataDxfId="328"/>
    <tableColumn id="5" xr3:uid="{00000000-0010-0000-0C00-000005000000}" name="10/2/2026" dataDxfId="327"/>
    <tableColumn id="6" xr3:uid="{00000000-0010-0000-0C00-000006000000}" name="10/9/2026" dataDxfId="32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68" displayName="Table168" ref="A74:F75" totalsRowShown="0" headerRowDxfId="325" dataDxfId="324" tableBorderDxfId="323">
  <autoFilter ref="A74:F75" xr:uid="{00000000-0009-0000-0100-00000E000000}"/>
  <tableColumns count="6">
    <tableColumn id="1" xr3:uid="{00000000-0010-0000-0D00-000001000000}" name="Placement" dataDxfId="322"/>
    <tableColumn id="2" xr3:uid="{00000000-0010-0000-0D00-000002000000}" name="9/18/2026" dataDxfId="321"/>
    <tableColumn id="3" xr3:uid="{00000000-0010-0000-0D00-000003000000}" name="9/25/2026" dataDxfId="320"/>
    <tableColumn id="4" xr3:uid="{00000000-0010-0000-0D00-000004000000}" name="9/30/2026" dataDxfId="319"/>
    <tableColumn id="5" xr3:uid="{00000000-0010-0000-0D00-000005000000}" name="10/2/2026" dataDxfId="318"/>
    <tableColumn id="6" xr3:uid="{00000000-0010-0000-0D00-000006000000}" name="10/9/2026" dataDxfId="317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279" displayName="Table279" ref="A77:F88" totalsRowShown="0" headerRowDxfId="316" dataDxfId="315" tableBorderDxfId="314">
  <autoFilter ref="A77:F88" xr:uid="{00000000-0009-0000-0100-00000F000000}"/>
  <tableColumns count="6">
    <tableColumn id="1" xr3:uid="{00000000-0010-0000-0E00-000001000000}" name="Job Search Status" dataDxfId="313"/>
    <tableColumn id="2" xr3:uid="{00000000-0010-0000-0E00-000002000000}" name="9/18/2026" dataDxfId="312"/>
    <tableColumn id="3" xr3:uid="{00000000-0010-0000-0E00-000003000000}" name="9/25/2026" dataDxfId="311"/>
    <tableColumn id="4" xr3:uid="{00000000-0010-0000-0E00-000004000000}" name="9/30/2026" dataDxfId="310"/>
    <tableColumn id="5" xr3:uid="{00000000-0010-0000-0E00-000005000000}" name="10/2/2026" dataDxfId="309"/>
    <tableColumn id="6" xr3:uid="{00000000-0010-0000-0E00-000006000000}" name="10/9/2026" dataDxfId="308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10" displayName="Table110" ref="A91:F92" totalsRowShown="0" headerRowDxfId="307" dataDxfId="306" tableBorderDxfId="305">
  <autoFilter ref="A91:F92" xr:uid="{00000000-0009-0000-0100-000010000000}"/>
  <tableColumns count="6">
    <tableColumn id="1" xr3:uid="{00000000-0010-0000-0F00-000001000000}" name="Placement" dataDxfId="304"/>
    <tableColumn id="2" xr3:uid="{00000000-0010-0000-0F00-000002000000}" name="9/18/2026" dataDxfId="303"/>
    <tableColumn id="3" xr3:uid="{00000000-0010-0000-0F00-000003000000}" name="9/25/2026" dataDxfId="302"/>
    <tableColumn id="4" xr3:uid="{00000000-0010-0000-0F00-000004000000}" name="9/30/2026" dataDxfId="301"/>
    <tableColumn id="5" xr3:uid="{00000000-0010-0000-0F00-000005000000}" name="10/2/2026" dataDxfId="300"/>
    <tableColumn id="6" xr3:uid="{00000000-0010-0000-0F00-000006000000}" name="10/9/2026" dataDxfId="299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211" displayName="Table211" ref="A94:F105" totalsRowShown="0" headerRowDxfId="298" dataDxfId="297" tableBorderDxfId="296">
  <autoFilter ref="A94:F105" xr:uid="{00000000-0009-0000-0100-000011000000}"/>
  <tableColumns count="6">
    <tableColumn id="1" xr3:uid="{00000000-0010-0000-1000-000001000000}" name="Job Search Status" dataDxfId="295"/>
    <tableColumn id="2" xr3:uid="{00000000-0010-0000-1000-000002000000}" name="9/18/2026" dataDxfId="294"/>
    <tableColumn id="3" xr3:uid="{00000000-0010-0000-1000-000003000000}" name="9/25/2026" dataDxfId="293"/>
    <tableColumn id="4" xr3:uid="{00000000-0010-0000-1000-000004000000}" name="9/30/2026" dataDxfId="292"/>
    <tableColumn id="5" xr3:uid="{00000000-0010-0000-1000-000005000000}" name="10/2/2026" dataDxfId="291"/>
    <tableColumn id="6" xr3:uid="{00000000-0010-0000-1000-000006000000}" name="10/9/2026" dataDxfId="290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1012" displayName="Table11012" ref="A108:F109" totalsRowShown="0" headerRowDxfId="289" dataDxfId="288" tableBorderDxfId="287">
  <autoFilter ref="A108:F109" xr:uid="{00000000-0009-0000-0100-000012000000}"/>
  <tableColumns count="6">
    <tableColumn id="1" xr3:uid="{00000000-0010-0000-1100-000001000000}" name="Placement" dataDxfId="286"/>
    <tableColumn id="2" xr3:uid="{00000000-0010-0000-1100-000002000000}" name="9/18/2026" dataDxfId="285"/>
    <tableColumn id="3" xr3:uid="{00000000-0010-0000-1100-000003000000}" name="9/25/2026" dataDxfId="284"/>
    <tableColumn id="4" xr3:uid="{00000000-0010-0000-1100-000004000000}" name="9/30/2026" dataDxfId="283"/>
    <tableColumn id="5" xr3:uid="{00000000-0010-0000-1100-000005000000}" name="10/2/2026" dataDxfId="282"/>
    <tableColumn id="6" xr3:uid="{00000000-0010-0000-1100-000006000000}" name="10/9/2026" dataDxfId="28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21113" displayName="Table21113" ref="A111:F122" totalsRowShown="0" headerRowDxfId="280" dataDxfId="279" tableBorderDxfId="278">
  <autoFilter ref="A111:F122" xr:uid="{00000000-0009-0000-0100-000013000000}"/>
  <tableColumns count="6">
    <tableColumn id="1" xr3:uid="{00000000-0010-0000-1200-000001000000}" name="Job Search Status" dataDxfId="277"/>
    <tableColumn id="2" xr3:uid="{00000000-0010-0000-1200-000002000000}" name="9/18/2026" dataDxfId="276"/>
    <tableColumn id="3" xr3:uid="{00000000-0010-0000-1200-000003000000}" name="9/25/2026" dataDxfId="275"/>
    <tableColumn id="4" xr3:uid="{00000000-0010-0000-1200-000004000000}" name="9/30/2026" dataDxfId="274"/>
    <tableColumn id="5" xr3:uid="{00000000-0010-0000-1200-000005000000}" name="10/2/2026" dataDxfId="273"/>
    <tableColumn id="6" xr3:uid="{00000000-0010-0000-1200-000006000000}" name="10/9/2026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1101216" displayName="Table1101216" ref="A125:F126" totalsRowShown="0" headerRowDxfId="272" dataDxfId="271" tableBorderDxfId="270">
  <autoFilter ref="A125:F126" xr:uid="{00000000-0009-0000-0100-000014000000}"/>
  <tableColumns count="6">
    <tableColumn id="1" xr3:uid="{00000000-0010-0000-1300-000001000000}" name="Placement" dataDxfId="269"/>
    <tableColumn id="2" xr3:uid="{00000000-0010-0000-1300-000002000000}" name="9/18/2026" dataDxfId="268"/>
    <tableColumn id="3" xr3:uid="{00000000-0010-0000-1300-000003000000}" name="9/25/2026" dataDxfId="267"/>
    <tableColumn id="4" xr3:uid="{00000000-0010-0000-1300-000004000000}" name="9/30/2026" dataDxfId="266"/>
    <tableColumn id="5" xr3:uid="{00000000-0010-0000-1300-000005000000}" name="10/2/2026" dataDxfId="265"/>
    <tableColumn id="6" xr3:uid="{00000000-0010-0000-1300-000006000000}" name="10/9/2026" dataDxfId="264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11317" displayName="Table2111317" ref="A128:F139" totalsRowShown="0" headerRowDxfId="263" dataDxfId="262" tableBorderDxfId="261">
  <autoFilter ref="A128:F139" xr:uid="{00000000-0009-0000-0100-000015000000}"/>
  <tableColumns count="6">
    <tableColumn id="1" xr3:uid="{00000000-0010-0000-1400-000001000000}" name="Job Search Status" dataDxfId="260"/>
    <tableColumn id="2" xr3:uid="{00000000-0010-0000-1400-000002000000}" name="9/18/2026" dataDxfId="259"/>
    <tableColumn id="3" xr3:uid="{00000000-0010-0000-1400-000003000000}" name="9/25/2026" dataDxfId="258"/>
    <tableColumn id="4" xr3:uid="{00000000-0010-0000-1400-000004000000}" name="9/30/2026" dataDxfId="257"/>
    <tableColumn id="5" xr3:uid="{00000000-0010-0000-1400-000005000000}" name="10/2/2026" dataDxfId="256"/>
    <tableColumn id="6" xr3:uid="{00000000-0010-0000-1400-000006000000}" name="10/9/2026" dataDxfId="255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110121618" displayName="Table110121618" ref="A142:F143" totalsRowShown="0" headerRowDxfId="254" dataDxfId="253" tableBorderDxfId="252">
  <autoFilter ref="A142:F143" xr:uid="{00000000-0009-0000-0100-000016000000}"/>
  <tableColumns count="6">
    <tableColumn id="1" xr3:uid="{00000000-0010-0000-1500-000001000000}" name="Placement" dataDxfId="251"/>
    <tableColumn id="2" xr3:uid="{00000000-0010-0000-1500-000002000000}" name="9/18/2026" dataDxfId="250"/>
    <tableColumn id="3" xr3:uid="{00000000-0010-0000-1500-000003000000}" name="9/25/2026" dataDxfId="249"/>
    <tableColumn id="4" xr3:uid="{00000000-0010-0000-1500-000004000000}" name="9/30/2026" dataDxfId="248"/>
    <tableColumn id="5" xr3:uid="{00000000-0010-0000-1500-000005000000}" name="10/2/2026" dataDxfId="247"/>
    <tableColumn id="6" xr3:uid="{00000000-0010-0000-1500-000006000000}" name="10/9/2026" dataDxfId="246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11131719" displayName="Table211131719" ref="A145:F156" totalsRowShown="0" headerRowDxfId="245" dataDxfId="244" tableBorderDxfId="243">
  <autoFilter ref="A145:F156" xr:uid="{00000000-0009-0000-0100-000017000000}"/>
  <tableColumns count="6">
    <tableColumn id="1" xr3:uid="{00000000-0010-0000-1600-000001000000}" name="Job Search Status" dataDxfId="242"/>
    <tableColumn id="2" xr3:uid="{00000000-0010-0000-1600-000002000000}" name="9/18/2026" dataDxfId="241"/>
    <tableColumn id="3" xr3:uid="{00000000-0010-0000-1600-000003000000}" name="9/25/2026" dataDxfId="240"/>
    <tableColumn id="4" xr3:uid="{00000000-0010-0000-1600-000004000000}" name="9/30/2026" dataDxfId="239"/>
    <tableColumn id="5" xr3:uid="{00000000-0010-0000-1600-000005000000}" name="10/2/2026" dataDxfId="238"/>
    <tableColumn id="6" xr3:uid="{00000000-0010-0000-1600-000006000000}" name="10/9/2026" dataDxfId="237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11012161820" displayName="Table11012161820" ref="A159:F160" totalsRowShown="0" headerRowDxfId="236" dataDxfId="235" tableBorderDxfId="234">
  <autoFilter ref="A159:F160" xr:uid="{00000000-0009-0000-0100-000018000000}"/>
  <tableColumns count="6">
    <tableColumn id="1" xr3:uid="{00000000-0010-0000-1700-000001000000}" name="Placement" dataDxfId="233"/>
    <tableColumn id="2" xr3:uid="{00000000-0010-0000-1700-000002000000}" name="9/18/2026" dataDxfId="232"/>
    <tableColumn id="3" xr3:uid="{00000000-0010-0000-1700-000003000000}" name="9/25/2026" dataDxfId="231"/>
    <tableColumn id="4" xr3:uid="{00000000-0010-0000-1700-000004000000}" name="9/30/2026" dataDxfId="230"/>
    <tableColumn id="5" xr3:uid="{00000000-0010-0000-1700-000005000000}" name="10/2/2026" dataDxfId="229"/>
    <tableColumn id="6" xr3:uid="{00000000-0010-0000-1700-000006000000}" name="10/9/2026" dataDxfId="228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1113171921" displayName="Table21113171921" ref="A162:F173" totalsRowShown="0" headerRowDxfId="227" dataDxfId="226" tableBorderDxfId="225">
  <autoFilter ref="A162:F173" xr:uid="{00000000-0009-0000-0100-000019000000}"/>
  <tableColumns count="6">
    <tableColumn id="1" xr3:uid="{00000000-0010-0000-1800-000001000000}" name="Job Search Status" dataDxfId="224"/>
    <tableColumn id="2" xr3:uid="{00000000-0010-0000-1800-000002000000}" name="9/18/2026" dataDxfId="223"/>
    <tableColumn id="3" xr3:uid="{00000000-0010-0000-1800-000003000000}" name="9/25/2026" dataDxfId="222"/>
    <tableColumn id="4" xr3:uid="{00000000-0010-0000-1800-000004000000}" name="9/30/2026" dataDxfId="221"/>
    <tableColumn id="5" xr3:uid="{00000000-0010-0000-1800-000005000000}" name="10/2/2026" dataDxfId="220"/>
    <tableColumn id="6" xr3:uid="{00000000-0010-0000-1800-000006000000}" name="10/9/2026" dataDxfId="219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1101216182022" displayName="Table1101216182022" ref="A176:F177" totalsRowShown="0" headerRowDxfId="218" dataDxfId="217" tableBorderDxfId="216">
  <autoFilter ref="A176:F177" xr:uid="{00000000-0009-0000-0100-00001A000000}"/>
  <tableColumns count="6">
    <tableColumn id="1" xr3:uid="{00000000-0010-0000-1900-000001000000}" name="Placement" dataDxfId="215"/>
    <tableColumn id="2" xr3:uid="{00000000-0010-0000-1900-000002000000}" name="9/18/2026" dataDxfId="214"/>
    <tableColumn id="3" xr3:uid="{00000000-0010-0000-1900-000003000000}" name="9/25/2026" dataDxfId="213"/>
    <tableColumn id="4" xr3:uid="{00000000-0010-0000-1900-000004000000}" name="9/30/2026" dataDxfId="212"/>
    <tableColumn id="5" xr3:uid="{00000000-0010-0000-1900-000005000000}" name="10/2/2026" dataDxfId="211"/>
    <tableColumn id="6" xr3:uid="{00000000-0010-0000-1900-000006000000}" name="10/9/2026" dataDxfId="210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111317192123" displayName="Table2111317192123" ref="A179:F190" totalsRowShown="0" headerRowDxfId="209" dataDxfId="208" tableBorderDxfId="207">
  <autoFilter ref="A179:F190" xr:uid="{00000000-0009-0000-0100-00001B000000}"/>
  <tableColumns count="6">
    <tableColumn id="1" xr3:uid="{00000000-0010-0000-1A00-000001000000}" name="Job Search Status" dataDxfId="206"/>
    <tableColumn id="2" xr3:uid="{00000000-0010-0000-1A00-000002000000}" name="9/18/2026" dataDxfId="205"/>
    <tableColumn id="3" xr3:uid="{00000000-0010-0000-1A00-000003000000}" name="9/25/2026" dataDxfId="204"/>
    <tableColumn id="4" xr3:uid="{00000000-0010-0000-1A00-000004000000}" name="9/30/2026" dataDxfId="203"/>
    <tableColumn id="5" xr3:uid="{00000000-0010-0000-1A00-000005000000}" name="10/2/2026" dataDxfId="202"/>
    <tableColumn id="6" xr3:uid="{00000000-0010-0000-1A00-000006000000}" name="10/9/2026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110121618202224" displayName="Table110121618202224" ref="A193:F194" totalsRowShown="0" headerRowDxfId="201" dataDxfId="200" tableBorderDxfId="199">
  <autoFilter ref="A193:F194" xr:uid="{00000000-0009-0000-0100-00001C000000}"/>
  <tableColumns count="6">
    <tableColumn id="1" xr3:uid="{00000000-0010-0000-1B00-000001000000}" name="Placement" dataDxfId="198"/>
    <tableColumn id="2" xr3:uid="{00000000-0010-0000-1B00-000002000000}" name="9/18/2026" dataDxfId="197"/>
    <tableColumn id="3" xr3:uid="{00000000-0010-0000-1B00-000003000000}" name="9/25/2026" dataDxfId="196"/>
    <tableColumn id="4" xr3:uid="{00000000-0010-0000-1B00-000004000000}" name="9/30/2026" dataDxfId="195"/>
    <tableColumn id="5" xr3:uid="{00000000-0010-0000-1B00-000005000000}" name="10/2/2026" dataDxfId="194"/>
    <tableColumn id="6" xr3:uid="{00000000-0010-0000-1B00-000006000000}" name="10/9/2026" dataDxfId="193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11131719212325" displayName="Table211131719212325" ref="A196:F207" totalsRowShown="0" headerRowDxfId="192" dataDxfId="191" tableBorderDxfId="190">
  <autoFilter ref="A196:F207" xr:uid="{00000000-0009-0000-0100-00001D000000}"/>
  <tableColumns count="6">
    <tableColumn id="1" xr3:uid="{00000000-0010-0000-1C00-000001000000}" name="Job Search Status" dataDxfId="189"/>
    <tableColumn id="2" xr3:uid="{00000000-0010-0000-1C00-000002000000}" name="9/18/2026" dataDxfId="188"/>
    <tableColumn id="3" xr3:uid="{00000000-0010-0000-1C00-000003000000}" name="9/25/2026" dataDxfId="187"/>
    <tableColumn id="4" xr3:uid="{00000000-0010-0000-1C00-000004000000}" name="9/30/2026" dataDxfId="186"/>
    <tableColumn id="5" xr3:uid="{00000000-0010-0000-1C00-000005000000}" name="10/2/2026" dataDxfId="185"/>
    <tableColumn id="6" xr3:uid="{00000000-0010-0000-1C00-000006000000}" name="10/9/2026" dataDxfId="184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11012161820222426" displayName="Table11012161820222426" ref="A210:F211" totalsRowShown="0" headerRowDxfId="183" dataDxfId="182" tableBorderDxfId="181">
  <autoFilter ref="A210:F211" xr:uid="{00000000-0009-0000-0100-00001E000000}"/>
  <tableColumns count="6">
    <tableColumn id="1" xr3:uid="{00000000-0010-0000-1D00-000001000000}" name="Placement" dataDxfId="180"/>
    <tableColumn id="2" xr3:uid="{00000000-0010-0000-1D00-000002000000}" name="9/18/2026" dataDxfId="179"/>
    <tableColumn id="3" xr3:uid="{00000000-0010-0000-1D00-000003000000}" name="9/25/2026" dataDxfId="178"/>
    <tableColumn id="4" xr3:uid="{00000000-0010-0000-1D00-000004000000}" name="9/30/2026" dataDxfId="177"/>
    <tableColumn id="5" xr3:uid="{00000000-0010-0000-1D00-000005000000}" name="10/2/2026" dataDxfId="176"/>
    <tableColumn id="6" xr3:uid="{00000000-0010-0000-1D00-000006000000}" name="10/9/2026" dataDxfId="175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21113171921232527" displayName="Table21113171921232527" ref="A213:F224" totalsRowShown="0" headerRowDxfId="174" dataDxfId="173" tableBorderDxfId="172">
  <autoFilter ref="A213:F224" xr:uid="{00000000-0009-0000-0100-00001F000000}"/>
  <tableColumns count="6">
    <tableColumn id="1" xr3:uid="{00000000-0010-0000-1E00-000001000000}" name="Job Search Status" dataDxfId="171"/>
    <tableColumn id="2" xr3:uid="{00000000-0010-0000-1E00-000002000000}" name="9/18/2026" dataDxfId="170"/>
    <tableColumn id="3" xr3:uid="{00000000-0010-0000-1E00-000003000000}" name="9/25/2026" dataDxfId="169"/>
    <tableColumn id="4" xr3:uid="{00000000-0010-0000-1E00-000004000000}" name="9/30/2026" dataDxfId="168"/>
    <tableColumn id="5" xr3:uid="{00000000-0010-0000-1E00-000005000000}" name="10/2/2026" dataDxfId="167"/>
    <tableColumn id="6" xr3:uid="{00000000-0010-0000-1E00-000006000000}" name="10/9/2026" dataDxfId="166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1101216182022242628" displayName="Table1101216182022242628" ref="A227:F228" totalsRowShown="0" headerRowDxfId="165" dataDxfId="164" tableBorderDxfId="163">
  <autoFilter ref="A227:F228" xr:uid="{00000000-0009-0000-0100-000020000000}"/>
  <tableColumns count="6">
    <tableColumn id="1" xr3:uid="{00000000-0010-0000-1F00-000001000000}" name="Placement" dataDxfId="162"/>
    <tableColumn id="2" xr3:uid="{00000000-0010-0000-1F00-000002000000}" name="9/18/2026" dataDxfId="161"/>
    <tableColumn id="3" xr3:uid="{00000000-0010-0000-1F00-000003000000}" name="9/25/2026" dataDxfId="160"/>
    <tableColumn id="4" xr3:uid="{00000000-0010-0000-1F00-000004000000}" name="9/30/2026" dataDxfId="159"/>
    <tableColumn id="5" xr3:uid="{00000000-0010-0000-1F00-000005000000}" name="10/2/2026" dataDxfId="158"/>
    <tableColumn id="6" xr3:uid="{00000000-0010-0000-1F00-000006000000}" name="10/9/2026" dataDxfId="15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2111317192123252729" displayName="Table2111317192123252729" ref="A230:F241" totalsRowShown="0" headerRowDxfId="156" dataDxfId="155" tableBorderDxfId="154">
  <autoFilter ref="A230:F241" xr:uid="{00000000-0009-0000-0100-000021000000}"/>
  <tableColumns count="6">
    <tableColumn id="1" xr3:uid="{00000000-0010-0000-2000-000001000000}" name="Job Search Status" dataDxfId="153"/>
    <tableColumn id="2" xr3:uid="{00000000-0010-0000-2000-000002000000}" name="9/18/2026" dataDxfId="152"/>
    <tableColumn id="3" xr3:uid="{00000000-0010-0000-2000-000003000000}" name="9/25/2026" dataDxfId="151"/>
    <tableColumn id="4" xr3:uid="{00000000-0010-0000-2000-000004000000}" name="9/30/2026" dataDxfId="150"/>
    <tableColumn id="5" xr3:uid="{00000000-0010-0000-2000-000005000000}" name="10/2/2026" dataDxfId="149"/>
    <tableColumn id="6" xr3:uid="{00000000-0010-0000-2000-000006000000}" name="10/9/2026" dataDxfId="148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110121618202224262830" displayName="Table110121618202224262830" ref="A244:F245" totalsRowShown="0" headerRowDxfId="147" dataDxfId="146" tableBorderDxfId="145">
  <autoFilter ref="A244:F245" xr:uid="{00000000-0009-0000-0100-000022000000}"/>
  <tableColumns count="6">
    <tableColumn id="1" xr3:uid="{00000000-0010-0000-2100-000001000000}" name="Placement" dataDxfId="144"/>
    <tableColumn id="2" xr3:uid="{00000000-0010-0000-2100-000002000000}" name="9/18/2026" dataDxfId="143"/>
    <tableColumn id="3" xr3:uid="{00000000-0010-0000-2100-000003000000}" name="9/25/2026" dataDxfId="142"/>
    <tableColumn id="4" xr3:uid="{00000000-0010-0000-2100-000004000000}" name="9/30/2026" dataDxfId="141"/>
    <tableColumn id="5" xr3:uid="{00000000-0010-0000-2100-000005000000}" name="10/2/2026" dataDxfId="140"/>
    <tableColumn id="6" xr3:uid="{00000000-0010-0000-2100-000006000000}" name="10/9/2026" dataDxfId="139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211131719212325272931" displayName="Table211131719212325272931" ref="A247:F258" totalsRowShown="0" headerRowDxfId="138" dataDxfId="137" tableBorderDxfId="136">
  <autoFilter ref="A247:F258" xr:uid="{00000000-0009-0000-0100-000023000000}"/>
  <tableColumns count="6">
    <tableColumn id="1" xr3:uid="{00000000-0010-0000-2200-000001000000}" name="Job Search Status" dataDxfId="135"/>
    <tableColumn id="2" xr3:uid="{00000000-0010-0000-2200-000002000000}" name="9/18/2026" dataDxfId="134"/>
    <tableColumn id="3" xr3:uid="{00000000-0010-0000-2200-000003000000}" name="9/25/2026" dataDxfId="133"/>
    <tableColumn id="4" xr3:uid="{00000000-0010-0000-2200-000004000000}" name="9/30/2026" dataDxfId="132"/>
    <tableColumn id="5" xr3:uid="{00000000-0010-0000-2200-000005000000}" name="10/2/2026" dataDxfId="131"/>
    <tableColumn id="6" xr3:uid="{00000000-0010-0000-2200-000006000000}" name="10/9/2026" dataDxfId="130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11012161820222426283032" displayName="Table11012161820222426283032" ref="A261:F262" totalsRowShown="0" headerRowDxfId="129" dataDxfId="128" tableBorderDxfId="127">
  <autoFilter ref="A261:F262" xr:uid="{00000000-0009-0000-0100-000024000000}"/>
  <tableColumns count="6">
    <tableColumn id="1" xr3:uid="{00000000-0010-0000-2300-000001000000}" name="Placement" dataDxfId="126"/>
    <tableColumn id="2" xr3:uid="{00000000-0010-0000-2300-000002000000}" name="9/18/2026" dataDxfId="125"/>
    <tableColumn id="3" xr3:uid="{00000000-0010-0000-2300-000003000000}" name="9/25/2026" dataDxfId="124"/>
    <tableColumn id="4" xr3:uid="{00000000-0010-0000-2300-000004000000}" name="9/30/2026" dataDxfId="123"/>
    <tableColumn id="5" xr3:uid="{00000000-0010-0000-2300-000005000000}" name="10/2/2026" dataDxfId="122"/>
    <tableColumn id="6" xr3:uid="{00000000-0010-0000-2300-000006000000}" name="10/9/2026" dataDxfId="121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21113171921232527293133" displayName="Table21113171921232527293133" ref="A264:F275" totalsRowShown="0" headerRowDxfId="120" dataDxfId="119" tableBorderDxfId="118">
  <autoFilter ref="A264:F275" xr:uid="{00000000-0009-0000-0100-000025000000}"/>
  <tableColumns count="6">
    <tableColumn id="1" xr3:uid="{00000000-0010-0000-2400-000001000000}" name="Job Search Status" dataDxfId="117"/>
    <tableColumn id="2" xr3:uid="{00000000-0010-0000-2400-000002000000}" name="9/18/2026" dataDxfId="116"/>
    <tableColumn id="3" xr3:uid="{00000000-0010-0000-2400-000003000000}" name="9/25/2026" dataDxfId="115"/>
    <tableColumn id="4" xr3:uid="{00000000-0010-0000-2400-000004000000}" name="9/30/2026" dataDxfId="114"/>
    <tableColumn id="5" xr3:uid="{00000000-0010-0000-2400-000005000000}" name="10/2/2026" dataDxfId="113"/>
    <tableColumn id="6" xr3:uid="{00000000-0010-0000-2400-000006000000}" name="10/9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Class2027Monthly" displayName="Class2027Monthly" ref="A3:D19">
  <autoFilter ref="A3:D19" xr:uid="{00000000-0009-0000-0100-000026000000}"/>
  <tableColumns count="4">
    <tableColumn id="1" xr3:uid="{00000000-0010-0000-2500-000001000000}" name="Placement Month"/>
    <tableColumn id="2" xr3:uid="{00000000-0010-0000-2500-000002000000}" name="Accepted Offers"/>
    <tableColumn id="3" xr3:uid="{00000000-0010-0000-2500-000003000000}" name="Running Total"/>
    <tableColumn id="4" xr3:uid="{00000000-0010-0000-2500-000004000000}" name="% Placed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3741" displayName="Table3741" ref="M24:S38" totalsRowShown="0" dataDxfId="111">
  <autoFilter ref="M24:S38" xr:uid="{00000000-0009-0000-0100-000027000000}"/>
  <tableColumns count="7">
    <tableColumn id="1" xr3:uid="{00000000-0010-0000-2600-000001000000}" name="Month" dataDxfId="110"/>
    <tableColumn id="8" xr3:uid="{00000000-0010-0000-2600-000008000000}" name="2027" dataDxfId="109" dataCellStyle="Percent"/>
    <tableColumn id="2" xr3:uid="{00000000-0010-0000-2600-000002000000}" name="2026" dataDxfId="108"/>
    <tableColumn id="3" xr3:uid="{00000000-0010-0000-2600-000003000000}" name="2025" dataDxfId="107"/>
    <tableColumn id="4" xr3:uid="{00000000-0010-0000-2600-000004000000}" name="2024" dataDxfId="106"/>
    <tableColumn id="5" xr3:uid="{00000000-0010-0000-2600-000005000000}" name="2023" dataDxfId="105"/>
    <tableColumn id="6" xr3:uid="{00000000-0010-0000-2600-000006000000}" name="2022" dataDxfId="104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374142" displayName="Table374142" ref="M24:S38" totalsRowShown="0" dataDxfId="103">
  <autoFilter ref="M24:S38" xr:uid="{00000000-0009-0000-0100-000028000000}"/>
  <tableColumns count="7">
    <tableColumn id="1" xr3:uid="{00000000-0010-0000-2700-000001000000}" name="Month" dataDxfId="102"/>
    <tableColumn id="8" xr3:uid="{00000000-0010-0000-2700-000008000000}" name="2027" dataDxfId="101" dataCellStyle="Percent"/>
    <tableColumn id="2" xr3:uid="{00000000-0010-0000-2700-000002000000}" name="2026" dataDxfId="100"/>
    <tableColumn id="3" xr3:uid="{00000000-0010-0000-2700-000003000000}" name="2025" dataDxfId="99"/>
    <tableColumn id="4" xr3:uid="{00000000-0010-0000-2700-000004000000}" name="2024" dataDxfId="98"/>
    <tableColumn id="5" xr3:uid="{00000000-0010-0000-2700-000005000000}" name="2023" dataDxfId="97"/>
    <tableColumn id="6" xr3:uid="{00000000-0010-0000-2700-000006000000}" name="2022" dataDxfId="96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37414239" displayName="Table37414239" ref="M24:S38" totalsRowShown="0" dataDxfId="95">
  <autoFilter ref="M24:S38" xr:uid="{00000000-0009-0000-0100-000029000000}"/>
  <tableColumns count="7">
    <tableColumn id="1" xr3:uid="{00000000-0010-0000-2800-000001000000}" name="Month" dataDxfId="94"/>
    <tableColumn id="8" xr3:uid="{00000000-0010-0000-2800-000008000000}" name="2027" dataDxfId="93" dataCellStyle="Percent"/>
    <tableColumn id="2" xr3:uid="{00000000-0010-0000-2800-000002000000}" name="2026" dataDxfId="92"/>
    <tableColumn id="3" xr3:uid="{00000000-0010-0000-2800-000003000000}" name="2025" dataDxfId="91"/>
    <tableColumn id="4" xr3:uid="{00000000-0010-0000-2800-000004000000}" name="2024" dataDxfId="90"/>
    <tableColumn id="5" xr3:uid="{00000000-0010-0000-2800-000005000000}" name="2023" dataDxfId="89"/>
    <tableColumn id="6" xr3:uid="{00000000-0010-0000-2800-000006000000}" name="2022" dataDxfId="88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3741423940" displayName="Table3741423940" ref="M24:S38" totalsRowShown="0" dataDxfId="87">
  <autoFilter ref="M24:S38" xr:uid="{00000000-0009-0000-0100-00002A000000}"/>
  <tableColumns count="7">
    <tableColumn id="1" xr3:uid="{00000000-0010-0000-2900-000001000000}" name="Month" dataDxfId="86"/>
    <tableColumn id="8" xr3:uid="{00000000-0010-0000-2900-000008000000}" name="2027" dataDxfId="85" dataCellStyle="Percent"/>
    <tableColumn id="2" xr3:uid="{00000000-0010-0000-2900-000002000000}" name="2026" dataDxfId="84"/>
    <tableColumn id="3" xr3:uid="{00000000-0010-0000-2900-000003000000}" name="2025" dataDxfId="83"/>
    <tableColumn id="4" xr3:uid="{00000000-0010-0000-2900-000004000000}" name="2024" dataDxfId="82"/>
    <tableColumn id="5" xr3:uid="{00000000-0010-0000-2900-000005000000}" name="2023" dataDxfId="81"/>
    <tableColumn id="6" xr3:uid="{00000000-0010-0000-2900-000006000000}" name="2022" dataDxfId="80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374142394043" displayName="Table374142394043" ref="M24:S38" totalsRowShown="0" dataDxfId="79">
  <autoFilter ref="M24:S38" xr:uid="{00000000-0009-0000-0100-00002B000000}"/>
  <tableColumns count="7">
    <tableColumn id="1" xr3:uid="{00000000-0010-0000-2A00-000001000000}" name="Month" dataDxfId="78"/>
    <tableColumn id="8" xr3:uid="{00000000-0010-0000-2A00-000008000000}" name="2027" dataDxfId="77" dataCellStyle="Percent"/>
    <tableColumn id="2" xr3:uid="{00000000-0010-0000-2A00-000002000000}" name="2026" dataDxfId="76"/>
    <tableColumn id="3" xr3:uid="{00000000-0010-0000-2A00-000003000000}" name="2025" dataDxfId="75"/>
    <tableColumn id="4" xr3:uid="{00000000-0010-0000-2A00-000004000000}" name="2024" dataDxfId="74"/>
    <tableColumn id="5" xr3:uid="{00000000-0010-0000-2A00-000005000000}" name="2023" dataDxfId="73"/>
    <tableColumn id="6" xr3:uid="{00000000-0010-0000-2A00-000006000000}" name="2022" dataDxfId="72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37414239404344" displayName="Table37414239404344" ref="M24:S38" totalsRowShown="0" dataDxfId="71">
  <autoFilter ref="M24:S38" xr:uid="{00000000-0009-0000-0100-00002C000000}"/>
  <tableColumns count="7">
    <tableColumn id="1" xr3:uid="{00000000-0010-0000-2B00-000001000000}" name="Month" dataDxfId="70"/>
    <tableColumn id="8" xr3:uid="{00000000-0010-0000-2B00-000008000000}" name="2027" dataDxfId="69" dataCellStyle="Percent"/>
    <tableColumn id="2" xr3:uid="{00000000-0010-0000-2B00-000002000000}" name="2026" dataDxfId="68"/>
    <tableColumn id="3" xr3:uid="{00000000-0010-0000-2B00-000003000000}" name="2025" dataDxfId="67"/>
    <tableColumn id="4" xr3:uid="{00000000-0010-0000-2B00-000004000000}" name="2024" dataDxfId="66"/>
    <tableColumn id="5" xr3:uid="{00000000-0010-0000-2B00-000005000000}" name="2023" dataDxfId="65"/>
    <tableColumn id="6" xr3:uid="{00000000-0010-0000-2B00-000006000000}" name="2022" dataDxfId="64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3741423940434445" displayName="Table3741423940434445" ref="M24:S38" totalsRowShown="0" dataDxfId="63">
  <autoFilter ref="M24:S38" xr:uid="{00000000-0009-0000-0100-00002D000000}"/>
  <tableColumns count="7">
    <tableColumn id="1" xr3:uid="{00000000-0010-0000-2C00-000001000000}" name="Month" dataDxfId="62"/>
    <tableColumn id="8" xr3:uid="{00000000-0010-0000-2C00-000008000000}" name="2027" dataDxfId="61" dataCellStyle="Percent"/>
    <tableColumn id="2" xr3:uid="{00000000-0010-0000-2C00-000002000000}" name="2026" dataDxfId="60"/>
    <tableColumn id="3" xr3:uid="{00000000-0010-0000-2C00-000003000000}" name="2025" dataDxfId="59"/>
    <tableColumn id="4" xr3:uid="{00000000-0010-0000-2C00-000004000000}" name="2024" dataDxfId="58"/>
    <tableColumn id="5" xr3:uid="{00000000-0010-0000-2C00-000005000000}" name="2023" dataDxfId="57"/>
    <tableColumn id="6" xr3:uid="{00000000-0010-0000-2C00-000006000000}" name="2022" dataDxfId="56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374142394043444546" displayName="Table374142394043444546" ref="M24:S38" totalsRowShown="0" dataDxfId="55">
  <autoFilter ref="M24:S38" xr:uid="{00000000-0009-0000-0100-00002E000000}"/>
  <tableColumns count="7">
    <tableColumn id="1" xr3:uid="{00000000-0010-0000-2D00-000001000000}" name="Month" dataDxfId="54"/>
    <tableColumn id="8" xr3:uid="{00000000-0010-0000-2D00-000008000000}" name="2027" dataDxfId="53" dataCellStyle="Percent"/>
    <tableColumn id="2" xr3:uid="{00000000-0010-0000-2D00-000002000000}" name="2026" dataDxfId="52"/>
    <tableColumn id="3" xr3:uid="{00000000-0010-0000-2D00-000003000000}" name="2025" dataDxfId="51"/>
    <tableColumn id="4" xr3:uid="{00000000-0010-0000-2D00-000004000000}" name="2024" dataDxfId="50"/>
    <tableColumn id="5" xr3:uid="{00000000-0010-0000-2D00-000005000000}" name="2023" dataDxfId="49"/>
    <tableColumn id="6" xr3:uid="{00000000-0010-0000-2D00-000006000000}" name="2022" dataDxfId="48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37414239404344454647" displayName="Table37414239404344454647" ref="M24:S38" totalsRowShown="0" dataDxfId="47">
  <autoFilter ref="M24:S38" xr:uid="{00000000-0009-0000-0100-00002F000000}"/>
  <tableColumns count="7">
    <tableColumn id="1" xr3:uid="{00000000-0010-0000-2E00-000001000000}" name="Month" dataDxfId="46"/>
    <tableColumn id="8" xr3:uid="{00000000-0010-0000-2E00-000008000000}" name="2027" dataDxfId="45" dataCellStyle="Percent"/>
    <tableColumn id="2" xr3:uid="{00000000-0010-0000-2E00-000002000000}" name="2026" dataDxfId="44"/>
    <tableColumn id="3" xr3:uid="{00000000-0010-0000-2E00-000003000000}" name="2025" dataDxfId="43"/>
    <tableColumn id="4" xr3:uid="{00000000-0010-0000-2E00-000004000000}" name="2024" dataDxfId="42"/>
    <tableColumn id="5" xr3:uid="{00000000-0010-0000-2E00-000005000000}" name="2023" dataDxfId="41"/>
    <tableColumn id="6" xr3:uid="{00000000-0010-0000-2E00-000006000000}" name="2022" dataDxfId="40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3741423940434445464748" displayName="Table3741423940434445464748" ref="M24:S38" totalsRowShown="0" dataDxfId="39">
  <autoFilter ref="M24:S38" xr:uid="{00000000-0009-0000-0100-000030000000}"/>
  <tableColumns count="7">
    <tableColumn id="1" xr3:uid="{00000000-0010-0000-2F00-000001000000}" name="Month" dataDxfId="38"/>
    <tableColumn id="8" xr3:uid="{00000000-0010-0000-2F00-000008000000}" name="2027" dataDxfId="37" dataCellStyle="Percent"/>
    <tableColumn id="2" xr3:uid="{00000000-0010-0000-2F00-000002000000}" name="2026" dataDxfId="36"/>
    <tableColumn id="3" xr3:uid="{00000000-0010-0000-2F00-000003000000}" name="2025" dataDxfId="35"/>
    <tableColumn id="4" xr3:uid="{00000000-0010-0000-2F00-000004000000}" name="2024" dataDxfId="34"/>
    <tableColumn id="5" xr3:uid="{00000000-0010-0000-2F00-000005000000}" name="2023" dataDxfId="33"/>
    <tableColumn id="6" xr3:uid="{00000000-0010-0000-2F00-000006000000}" name="2022" dataDxfId="32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374142394043444546474849" displayName="Table374142394043444546474849" ref="M24:S38" totalsRowShown="0" dataDxfId="31">
  <autoFilter ref="M24:S38" xr:uid="{00000000-0009-0000-0100-000031000000}"/>
  <tableColumns count="7">
    <tableColumn id="1" xr3:uid="{00000000-0010-0000-3000-000001000000}" name="Month" dataDxfId="30"/>
    <tableColumn id="8" xr3:uid="{00000000-0010-0000-3000-000008000000}" name="2027" dataDxfId="29" dataCellStyle="Percent"/>
    <tableColumn id="2" xr3:uid="{00000000-0010-0000-3000-000002000000}" name="2026" dataDxfId="28"/>
    <tableColumn id="3" xr3:uid="{00000000-0010-0000-3000-000003000000}" name="2025" dataDxfId="27"/>
    <tableColumn id="4" xr3:uid="{00000000-0010-0000-3000-000004000000}" name="2024" dataDxfId="26"/>
    <tableColumn id="5" xr3:uid="{00000000-0010-0000-3000-000005000000}" name="2023" dataDxfId="25"/>
    <tableColumn id="6" xr3:uid="{00000000-0010-0000-3000-000006000000}" name="2022" dataDxfId="24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37414239404344454647484950" displayName="Table37414239404344454647484950" ref="M24:S38" totalsRowShown="0" dataDxfId="23">
  <autoFilter ref="M24:S38" xr:uid="{00000000-0009-0000-0100-000032000000}"/>
  <tableColumns count="7">
    <tableColumn id="1" xr3:uid="{00000000-0010-0000-3100-000001000000}" name="Month" dataDxfId="22"/>
    <tableColumn id="8" xr3:uid="{00000000-0010-0000-3100-000008000000}" name="2027" dataDxfId="21" dataCellStyle="Percent"/>
    <tableColumn id="2" xr3:uid="{00000000-0010-0000-3100-000002000000}" name="2026" dataDxfId="20"/>
    <tableColumn id="3" xr3:uid="{00000000-0010-0000-3100-000003000000}" name="2025" dataDxfId="19"/>
    <tableColumn id="4" xr3:uid="{00000000-0010-0000-3100-000004000000}" name="2024" dataDxfId="18"/>
    <tableColumn id="5" xr3:uid="{00000000-0010-0000-3100-000005000000}" name="2023" dataDxfId="17"/>
    <tableColumn id="6" xr3:uid="{00000000-0010-0000-3100-000006000000}" name="2022" dataDxfId="16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3741423940434445464748495051" displayName="Table3741423940434445464748495051" ref="M24:S38" totalsRowShown="0" dataDxfId="15">
  <autoFilter ref="M24:S38" xr:uid="{00000000-0009-0000-0100-000033000000}"/>
  <tableColumns count="7">
    <tableColumn id="1" xr3:uid="{00000000-0010-0000-3200-000001000000}" name="Month" dataDxfId="14"/>
    <tableColumn id="8" xr3:uid="{00000000-0010-0000-3200-000008000000}" name="2027" dataDxfId="13" dataCellStyle="Percent"/>
    <tableColumn id="2" xr3:uid="{00000000-0010-0000-3200-000002000000}" name="2026" dataDxfId="12"/>
    <tableColumn id="3" xr3:uid="{00000000-0010-0000-3200-000003000000}" name="2025" dataDxfId="11"/>
    <tableColumn id="4" xr3:uid="{00000000-0010-0000-3200-000004000000}" name="2024" dataDxfId="10"/>
    <tableColumn id="5" xr3:uid="{00000000-0010-0000-3200-000005000000}" name="2023" dataDxfId="9"/>
    <tableColumn id="6" xr3:uid="{00000000-0010-0000-3200-000006000000}" name="2022" dataDxfId="8"/>
  </tableColumns>
  <tableStyleInfo name="TableStyleLight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374142394043444546474849505152" displayName="Table374142394043444546474849505152" ref="M24:S38" totalsRowShown="0" dataDxfId="7">
  <autoFilter ref="M24:S38" xr:uid="{00000000-0009-0000-0100-000034000000}"/>
  <tableColumns count="7">
    <tableColumn id="1" xr3:uid="{00000000-0010-0000-3300-000001000000}" name="Month" dataDxfId="6"/>
    <tableColumn id="8" xr3:uid="{00000000-0010-0000-3300-000008000000}" name="2027" dataDxfId="5" dataCellStyle="Percent"/>
    <tableColumn id="2" xr3:uid="{00000000-0010-0000-3300-000002000000}" name="2026" dataDxfId="4"/>
    <tableColumn id="3" xr3:uid="{00000000-0010-0000-3300-000003000000}" name="2025" dataDxfId="3"/>
    <tableColumn id="4" xr3:uid="{00000000-0010-0000-3300-000004000000}" name="2024" dataDxfId="2"/>
    <tableColumn id="5" xr3:uid="{00000000-0010-0000-3300-000005000000}" name="2023" dataDxfId="1"/>
    <tableColumn id="6" xr3:uid="{00000000-0010-0000-3300-000006000000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4.xml"/><Relationship Id="rId18" Type="http://schemas.openxmlformats.org/officeDocument/2006/relationships/table" Target="../tables/table19.xml"/><Relationship Id="rId26" Type="http://schemas.openxmlformats.org/officeDocument/2006/relationships/table" Target="../tables/table27.xml"/><Relationship Id="rId21" Type="http://schemas.openxmlformats.org/officeDocument/2006/relationships/table" Target="../tables/table22.xml"/><Relationship Id="rId34" Type="http://schemas.openxmlformats.org/officeDocument/2006/relationships/table" Target="../tables/table35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17" Type="http://schemas.openxmlformats.org/officeDocument/2006/relationships/table" Target="../tables/table18.xml"/><Relationship Id="rId25" Type="http://schemas.openxmlformats.org/officeDocument/2006/relationships/table" Target="../tables/table26.xml"/><Relationship Id="rId33" Type="http://schemas.openxmlformats.org/officeDocument/2006/relationships/table" Target="../tables/table34.xml"/><Relationship Id="rId2" Type="http://schemas.openxmlformats.org/officeDocument/2006/relationships/table" Target="../tables/table3.xml"/><Relationship Id="rId16" Type="http://schemas.openxmlformats.org/officeDocument/2006/relationships/table" Target="../tables/table17.xml"/><Relationship Id="rId20" Type="http://schemas.openxmlformats.org/officeDocument/2006/relationships/table" Target="../tables/table21.xml"/><Relationship Id="rId29" Type="http://schemas.openxmlformats.org/officeDocument/2006/relationships/table" Target="../tables/table30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24" Type="http://schemas.openxmlformats.org/officeDocument/2006/relationships/table" Target="../tables/table25.xml"/><Relationship Id="rId32" Type="http://schemas.openxmlformats.org/officeDocument/2006/relationships/table" Target="../tables/table33.xml"/><Relationship Id="rId37" Type="http://schemas.openxmlformats.org/officeDocument/2006/relationships/table" Target="../tables/table38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23" Type="http://schemas.openxmlformats.org/officeDocument/2006/relationships/table" Target="../tables/table24.xml"/><Relationship Id="rId28" Type="http://schemas.openxmlformats.org/officeDocument/2006/relationships/table" Target="../tables/table29.xml"/><Relationship Id="rId36" Type="http://schemas.openxmlformats.org/officeDocument/2006/relationships/table" Target="../tables/table37.xml"/><Relationship Id="rId10" Type="http://schemas.openxmlformats.org/officeDocument/2006/relationships/table" Target="../tables/table11.xml"/><Relationship Id="rId19" Type="http://schemas.openxmlformats.org/officeDocument/2006/relationships/table" Target="../tables/table20.xml"/><Relationship Id="rId31" Type="http://schemas.openxmlformats.org/officeDocument/2006/relationships/table" Target="../tables/table32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Relationship Id="rId22" Type="http://schemas.openxmlformats.org/officeDocument/2006/relationships/table" Target="../tables/table23.xml"/><Relationship Id="rId27" Type="http://schemas.openxmlformats.org/officeDocument/2006/relationships/table" Target="../tables/table28.xml"/><Relationship Id="rId30" Type="http://schemas.openxmlformats.org/officeDocument/2006/relationships/table" Target="../tables/table31.xml"/><Relationship Id="rId35" Type="http://schemas.openxmlformats.org/officeDocument/2006/relationships/table" Target="../tables/table36.xml"/><Relationship Id="rId8" Type="http://schemas.openxmlformats.org/officeDocument/2006/relationships/table" Target="../tables/table9.xml"/><Relationship Id="rId3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8"/>
  <sheetViews>
    <sheetView showGridLines="0" tabSelected="1" topLeftCell="A9" zoomScale="94" zoomScaleNormal="95" workbookViewId="0">
      <selection activeCell="I1" sqref="I1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3" width="7.28515625" bestFit="1" customWidth="1"/>
    <col min="14" max="14" width="8.7109375" bestFit="1" customWidth="1"/>
    <col min="15" max="19" width="7.28515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0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0.1069</v>
      </c>
      <c r="O25" s="11">
        <v>0.1107854630715123</v>
      </c>
      <c r="P25" s="12">
        <v>0.1017</v>
      </c>
      <c r="Q25" s="13">
        <v>0.12</v>
      </c>
      <c r="R25" s="14">
        <v>8.5999999999999993E-2</v>
      </c>
      <c r="S25" s="31">
        <v>0.1171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0.15670000000000001</v>
      </c>
      <c r="O26" s="15">
        <v>0.1512309495896835</v>
      </c>
      <c r="P26" s="16">
        <v>0.14149999999999999</v>
      </c>
      <c r="Q26" s="17">
        <v>0.19089999999999999</v>
      </c>
      <c r="R26" s="18">
        <v>0.1196</v>
      </c>
      <c r="S26" s="33">
        <v>0.2165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2">
        <v>0.1666</v>
      </c>
      <c r="O27" s="19">
        <v>0.22743259085580311</v>
      </c>
      <c r="P27" s="20">
        <v>0.21360000000000001</v>
      </c>
      <c r="Q27" s="21">
        <v>0.28000000000000003</v>
      </c>
      <c r="R27" s="22">
        <v>0.215</v>
      </c>
      <c r="S27" s="34">
        <v>0.29549999999999998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0.27432590855803052</v>
      </c>
      <c r="P28" s="16">
        <v>0.2873</v>
      </c>
      <c r="Q28" s="17">
        <v>0.32729999999999998</v>
      </c>
      <c r="R28" s="18">
        <v>0.32800000000000001</v>
      </c>
      <c r="S28" s="33">
        <v>0.36899999999999999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0.33470105509964831</v>
      </c>
      <c r="P29" s="20">
        <v>0.31690000000000002</v>
      </c>
      <c r="Q29" s="21">
        <v>0.38819999999999999</v>
      </c>
      <c r="R29" s="22">
        <v>0.35980000000000001</v>
      </c>
      <c r="S29" s="34">
        <v>0.40799999999999997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0.44619999999999999</v>
      </c>
      <c r="P30" s="16">
        <v>0.4466</v>
      </c>
      <c r="Q30" s="17">
        <v>0.48359999999999997</v>
      </c>
      <c r="R30" s="18">
        <v>0.40839999999999999</v>
      </c>
      <c r="S30" s="33">
        <v>0.4572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0.50580000000000003</v>
      </c>
      <c r="P31" s="20">
        <v>0.52459999999999996</v>
      </c>
      <c r="Q31" s="21">
        <v>0.56359999999999999</v>
      </c>
      <c r="R31" s="22">
        <v>0.46820000000000001</v>
      </c>
      <c r="S31" s="34">
        <v>0.57430000000000003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0.59409999999999996</v>
      </c>
      <c r="P32" s="16">
        <v>0.61780000000000002</v>
      </c>
      <c r="Q32" s="17">
        <v>0.64180000000000004</v>
      </c>
      <c r="R32" s="18">
        <v>0.60929999999999995</v>
      </c>
      <c r="S32" s="33">
        <v>0.69699999999999995</v>
      </c>
    </row>
    <row r="33" spans="13:19" ht="19.5" customHeight="1" x14ac:dyDescent="0.25">
      <c r="M33" s="32" t="s">
        <v>19</v>
      </c>
      <c r="N33" s="10"/>
      <c r="O33" s="19">
        <v>0.71630000000000005</v>
      </c>
      <c r="P33" s="20">
        <v>0.70589999999999997</v>
      </c>
      <c r="Q33" s="21">
        <v>0.72270000000000001</v>
      </c>
      <c r="R33" s="22">
        <v>0.68410000000000004</v>
      </c>
      <c r="S33" s="34">
        <v>0.7742</v>
      </c>
    </row>
    <row r="34" spans="13:19" ht="19.5" customHeight="1" x14ac:dyDescent="0.25">
      <c r="M34" s="32" t="s">
        <v>20</v>
      </c>
      <c r="N34" s="10"/>
      <c r="O34" s="15">
        <v>0.7913</v>
      </c>
      <c r="P34" s="16">
        <v>0.77290000000000003</v>
      </c>
      <c r="Q34" s="17">
        <v>0.77180000000000004</v>
      </c>
      <c r="R34" s="18">
        <v>0.8</v>
      </c>
      <c r="S34" s="33">
        <v>0.82430000000000003</v>
      </c>
    </row>
    <row r="35" spans="13:19" ht="19.5" customHeight="1" x14ac:dyDescent="0.25">
      <c r="M35" s="32" t="s">
        <v>21</v>
      </c>
      <c r="N35" s="10"/>
      <c r="O35" s="19">
        <v>0.87049999999999994</v>
      </c>
      <c r="P35" s="20">
        <v>0.82289999999999996</v>
      </c>
      <c r="Q35" s="21">
        <v>0.82089999999999996</v>
      </c>
      <c r="R35" s="22">
        <v>0.85609999999999997</v>
      </c>
      <c r="S35" s="34">
        <v>0.87270000000000003</v>
      </c>
    </row>
    <row r="36" spans="13:19" ht="19.5" customHeight="1" x14ac:dyDescent="0.25">
      <c r="M36" s="32" t="s">
        <v>22</v>
      </c>
      <c r="N36" s="10"/>
      <c r="O36" s="15">
        <v>0.94110000000000005</v>
      </c>
      <c r="P36" s="16">
        <v>0.89580000000000004</v>
      </c>
      <c r="Q36" s="17">
        <v>0.93089999999999995</v>
      </c>
      <c r="R36" s="18">
        <v>0.92059999999999997</v>
      </c>
      <c r="S36" s="33">
        <v>0.96560000000000001</v>
      </c>
    </row>
    <row r="37" spans="13:19" ht="19.5" customHeight="1" x14ac:dyDescent="0.25">
      <c r="M37" s="32" t="s">
        <v>23</v>
      </c>
      <c r="N37" s="10"/>
      <c r="O37" s="19">
        <v>0.95239999999999991</v>
      </c>
      <c r="P37" s="20">
        <v>0.93140000000000001</v>
      </c>
      <c r="Q37" s="21">
        <v>0.94179999999999997</v>
      </c>
      <c r="R37" s="22">
        <v>0.93179999999999996</v>
      </c>
      <c r="S37" s="34">
        <v>0.97030000000000005</v>
      </c>
    </row>
    <row r="38" spans="13:19" ht="19.5" customHeight="1" x14ac:dyDescent="0.25">
      <c r="M38" s="32" t="s">
        <v>24</v>
      </c>
      <c r="N38" s="10"/>
      <c r="O38" s="15">
        <v>0.95599999999999996</v>
      </c>
      <c r="P38" s="16">
        <v>0.95589999999999997</v>
      </c>
      <c r="Q38" s="17">
        <v>0.94359999999999999</v>
      </c>
      <c r="R38" s="18">
        <v>0.94110000000000005</v>
      </c>
      <c r="S38" s="33">
        <v>0.97399999999999998</v>
      </c>
    </row>
  </sheetData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75"/>
  <sheetViews>
    <sheetView topLeftCell="A107" workbookViewId="0">
      <pane xSplit="1" topLeftCell="B1" activePane="topRight" state="frozen"/>
      <selection activeCell="A13" sqref="A13"/>
      <selection pane="topRight" activeCell="F262" sqref="F262"/>
    </sheetView>
  </sheetViews>
  <sheetFormatPr defaultColWidth="8.85546875" defaultRowHeight="15" x14ac:dyDescent="0.25"/>
  <cols>
    <col min="1" max="1" width="18.42578125" customWidth="1"/>
    <col min="18" max="18" width="10.7109375" customWidth="1"/>
    <col min="19" max="19" width="9.140625" customWidth="1"/>
    <col min="23" max="23" width="15.7109375" bestFit="1" customWidth="1"/>
    <col min="24" max="25" width="12" bestFit="1" customWidth="1"/>
    <col min="26" max="26" width="19.140625" bestFit="1" customWidth="1"/>
    <col min="27" max="27" width="15.42578125" bestFit="1" customWidth="1"/>
    <col min="28" max="29" width="10.140625" bestFit="1" customWidth="1"/>
    <col min="30" max="30" width="17" customWidth="1"/>
    <col min="31" max="31" width="19.140625" bestFit="1" customWidth="1"/>
    <col min="32" max="32" width="12.28515625" bestFit="1" customWidth="1"/>
    <col min="33" max="33" width="13.28515625" customWidth="1"/>
    <col min="34" max="34" width="15" customWidth="1"/>
    <col min="35" max="35" width="19.140625" customWidth="1"/>
    <col min="36" max="36" width="15.7109375" customWidth="1"/>
    <col min="37" max="37" width="15.42578125" customWidth="1"/>
    <col min="38" max="39" width="13.28515625" bestFit="1" customWidth="1"/>
  </cols>
  <sheetData>
    <row r="1" spans="1:34" ht="21.95" customHeight="1" x14ac:dyDescent="0.35">
      <c r="A1" s="72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spans="1:34" ht="18.95" customHeight="1" x14ac:dyDescent="0.3">
      <c r="A2" s="73" t="s">
        <v>26</v>
      </c>
      <c r="B2" s="74"/>
      <c r="C2" s="74"/>
      <c r="D2" s="74"/>
      <c r="E2" s="35"/>
      <c r="F2" s="73" t="s">
        <v>27</v>
      </c>
      <c r="G2" s="74"/>
      <c r="H2" s="74"/>
      <c r="I2" s="74"/>
      <c r="J2" s="35"/>
      <c r="K2" s="73" t="s">
        <v>28</v>
      </c>
      <c r="L2" s="74"/>
      <c r="M2" s="74"/>
      <c r="N2" s="74"/>
      <c r="O2" s="74"/>
      <c r="P2" s="73" t="s">
        <v>29</v>
      </c>
      <c r="Q2" s="74"/>
      <c r="R2" s="74"/>
      <c r="S2" s="74"/>
      <c r="T2" s="74"/>
      <c r="U2" s="73" t="s">
        <v>30</v>
      </c>
      <c r="V2" s="74"/>
      <c r="W2" s="74"/>
      <c r="X2" s="74"/>
      <c r="Y2" s="74"/>
      <c r="Z2" s="73" t="s">
        <v>31</v>
      </c>
      <c r="AA2" s="74"/>
      <c r="AB2" s="74"/>
      <c r="AC2" s="74"/>
      <c r="AD2" s="74"/>
      <c r="AE2" s="73" t="s">
        <v>32</v>
      </c>
      <c r="AF2" s="74"/>
      <c r="AG2" s="74"/>
      <c r="AH2" s="74"/>
    </row>
    <row r="3" spans="1:34" x14ac:dyDescent="0.25">
      <c r="A3" s="75" t="s">
        <v>33</v>
      </c>
      <c r="B3" s="75" t="s">
        <v>34</v>
      </c>
      <c r="C3" s="75" t="s">
        <v>35</v>
      </c>
      <c r="D3" s="76" t="s">
        <v>36</v>
      </c>
      <c r="E3" s="35"/>
      <c r="F3" s="75" t="s">
        <v>33</v>
      </c>
      <c r="G3" s="75" t="s">
        <v>34</v>
      </c>
      <c r="H3" s="75" t="s">
        <v>35</v>
      </c>
      <c r="I3" s="76" t="s">
        <v>36</v>
      </c>
      <c r="J3" s="35"/>
      <c r="K3" s="75" t="s">
        <v>37</v>
      </c>
      <c r="L3" s="75" t="s">
        <v>34</v>
      </c>
      <c r="M3" s="75" t="s">
        <v>35</v>
      </c>
      <c r="N3" s="76" t="s">
        <v>36</v>
      </c>
      <c r="O3" s="74"/>
      <c r="P3" s="75" t="s">
        <v>37</v>
      </c>
      <c r="Q3" s="75" t="s">
        <v>34</v>
      </c>
      <c r="R3" s="75" t="s">
        <v>35</v>
      </c>
      <c r="S3" s="75" t="s">
        <v>36</v>
      </c>
      <c r="T3" s="74"/>
      <c r="U3" s="75" t="s">
        <v>37</v>
      </c>
      <c r="V3" s="75" t="s">
        <v>34</v>
      </c>
      <c r="W3" s="75" t="s">
        <v>35</v>
      </c>
      <c r="X3" s="75" t="s">
        <v>36</v>
      </c>
      <c r="Y3" s="74"/>
      <c r="Z3" s="75" t="s">
        <v>33</v>
      </c>
      <c r="AA3" s="75" t="s">
        <v>38</v>
      </c>
      <c r="AB3" s="75" t="s">
        <v>35</v>
      </c>
      <c r="AC3" s="75" t="s">
        <v>36</v>
      </c>
      <c r="AD3" s="74"/>
      <c r="AE3" s="75" t="s">
        <v>33</v>
      </c>
      <c r="AF3" s="75" t="s">
        <v>38</v>
      </c>
      <c r="AG3" s="75" t="s">
        <v>35</v>
      </c>
      <c r="AH3" s="75" t="s">
        <v>36</v>
      </c>
    </row>
    <row r="4" spans="1:34" x14ac:dyDescent="0.25">
      <c r="A4" s="35" t="s">
        <v>39</v>
      </c>
      <c r="B4" s="35">
        <v>206</v>
      </c>
      <c r="C4" s="77">
        <f>IF(B4="","",SUM($B$4:B4))</f>
        <v>206</v>
      </c>
      <c r="D4" s="78">
        <v>0.1069</v>
      </c>
      <c r="E4" s="35"/>
      <c r="F4" s="35" t="s">
        <v>40</v>
      </c>
      <c r="G4" s="35">
        <v>189</v>
      </c>
      <c r="H4" s="77">
        <f>SUM($G$4:G4)</f>
        <v>189</v>
      </c>
      <c r="I4" s="78">
        <f>H4/$G$20</f>
        <v>0.11078546307151231</v>
      </c>
      <c r="J4" s="35"/>
      <c r="K4" s="74" t="s">
        <v>41</v>
      </c>
      <c r="L4" s="77">
        <v>120</v>
      </c>
      <c r="M4" s="77">
        <v>120</v>
      </c>
      <c r="N4" s="78">
        <v>0.1017</v>
      </c>
      <c r="O4" s="74"/>
      <c r="P4" s="74" t="s">
        <v>42</v>
      </c>
      <c r="Q4" s="77">
        <v>132</v>
      </c>
      <c r="R4" s="77">
        <v>132</v>
      </c>
      <c r="S4" s="78">
        <v>0.12</v>
      </c>
      <c r="T4" s="74"/>
      <c r="U4" s="74" t="s">
        <v>43</v>
      </c>
      <c r="V4" s="77">
        <v>92</v>
      </c>
      <c r="W4" s="77">
        <v>92</v>
      </c>
      <c r="X4" s="78">
        <v>8.5999999999999993E-2</v>
      </c>
      <c r="Y4" s="74"/>
      <c r="Z4" s="74" t="s">
        <v>44</v>
      </c>
      <c r="AA4" s="77">
        <v>126</v>
      </c>
      <c r="AB4" s="77">
        <v>126</v>
      </c>
      <c r="AC4" s="78">
        <v>0.1171</v>
      </c>
      <c r="AD4" s="74"/>
      <c r="AE4" s="74" t="s">
        <v>45</v>
      </c>
      <c r="AF4" s="77">
        <v>129</v>
      </c>
      <c r="AG4" s="77">
        <v>129</v>
      </c>
      <c r="AH4" s="78">
        <v>0.13239999999999999</v>
      </c>
    </row>
    <row r="5" spans="1:34" x14ac:dyDescent="0.25">
      <c r="A5" s="35" t="s">
        <v>46</v>
      </c>
      <c r="B5" s="35">
        <v>99</v>
      </c>
      <c r="C5" s="77">
        <f>IF(B5="","",SUM($B$4:B5))</f>
        <v>305</v>
      </c>
      <c r="D5" s="78">
        <v>0.15670000000000001</v>
      </c>
      <c r="E5" s="35"/>
      <c r="F5" s="35" t="s">
        <v>47</v>
      </c>
      <c r="G5" s="35">
        <v>69</v>
      </c>
      <c r="H5" s="77">
        <f>SUM($G$4:G5)</f>
        <v>258</v>
      </c>
      <c r="I5" s="78">
        <f>H5/$G$20</f>
        <v>0.15123094958968347</v>
      </c>
      <c r="J5" s="35"/>
      <c r="K5" s="74" t="s">
        <v>48</v>
      </c>
      <c r="L5" s="77">
        <v>47</v>
      </c>
      <c r="M5" s="77">
        <v>167</v>
      </c>
      <c r="N5" s="78">
        <v>0.14149999999999999</v>
      </c>
      <c r="O5" s="74"/>
      <c r="P5" s="74" t="s">
        <v>49</v>
      </c>
      <c r="Q5" s="77">
        <v>78</v>
      </c>
      <c r="R5" s="77">
        <v>210</v>
      </c>
      <c r="S5" s="78">
        <v>0.19089999999999999</v>
      </c>
      <c r="T5" s="74"/>
      <c r="U5" s="74" t="s">
        <v>50</v>
      </c>
      <c r="V5" s="77">
        <v>36</v>
      </c>
      <c r="W5" s="77">
        <v>128</v>
      </c>
      <c r="X5" s="78">
        <v>0.1196</v>
      </c>
      <c r="Y5" s="74"/>
      <c r="Z5" s="74" t="s">
        <v>51</v>
      </c>
      <c r="AA5" s="77">
        <v>107</v>
      </c>
      <c r="AB5" s="77">
        <v>233</v>
      </c>
      <c r="AC5" s="78">
        <v>0.2165</v>
      </c>
      <c r="AD5" s="74"/>
      <c r="AE5" s="74" t="s">
        <v>52</v>
      </c>
      <c r="AF5" s="77">
        <v>67</v>
      </c>
      <c r="AG5" s="77">
        <v>196</v>
      </c>
      <c r="AH5" s="78">
        <v>0.20119999999999999</v>
      </c>
    </row>
    <row r="6" spans="1:34" x14ac:dyDescent="0.25">
      <c r="A6" s="35" t="s">
        <v>53</v>
      </c>
      <c r="B6" s="35"/>
      <c r="C6" s="77" t="str">
        <f>IF(B6="","",SUM($B$4:B6))</f>
        <v/>
      </c>
      <c r="D6" s="78" t="str">
        <f t="shared" ref="D6:D18" si="0">IF(C6="","",C6/$B$20)</f>
        <v/>
      </c>
      <c r="E6" s="35"/>
      <c r="F6" s="35" t="s">
        <v>54</v>
      </c>
      <c r="G6" s="35">
        <v>130</v>
      </c>
      <c r="H6" s="77">
        <f>SUM($G$4:G6)</f>
        <v>388</v>
      </c>
      <c r="I6" s="78">
        <f>H6/$G$20</f>
        <v>0.22743259085580306</v>
      </c>
      <c r="J6" s="35"/>
      <c r="K6" s="74" t="s">
        <v>55</v>
      </c>
      <c r="L6" s="77">
        <v>85</v>
      </c>
      <c r="M6" s="77">
        <v>252</v>
      </c>
      <c r="N6" s="78">
        <v>0.21360000000000001</v>
      </c>
      <c r="O6" s="74"/>
      <c r="P6" s="74" t="s">
        <v>56</v>
      </c>
      <c r="Q6" s="77">
        <v>98</v>
      </c>
      <c r="R6" s="77">
        <v>308</v>
      </c>
      <c r="S6" s="78">
        <v>0.28000000000000003</v>
      </c>
      <c r="T6" s="74"/>
      <c r="U6" s="74" t="s">
        <v>57</v>
      </c>
      <c r="V6" s="77">
        <v>102</v>
      </c>
      <c r="W6" s="77">
        <v>230</v>
      </c>
      <c r="X6" s="78">
        <v>0.215</v>
      </c>
      <c r="Y6" s="74"/>
      <c r="Z6" s="74" t="s">
        <v>58</v>
      </c>
      <c r="AA6" s="77">
        <v>85</v>
      </c>
      <c r="AB6" s="77">
        <v>318</v>
      </c>
      <c r="AC6" s="78">
        <v>0.29549999999999998</v>
      </c>
      <c r="AD6" s="74"/>
      <c r="AE6" s="74" t="s">
        <v>59</v>
      </c>
      <c r="AF6" s="77">
        <v>49</v>
      </c>
      <c r="AG6" s="77">
        <v>245</v>
      </c>
      <c r="AH6" s="78">
        <v>0.2515</v>
      </c>
    </row>
    <row r="7" spans="1:34" x14ac:dyDescent="0.25">
      <c r="A7" s="35" t="s">
        <v>60</v>
      </c>
      <c r="B7" s="35"/>
      <c r="C7" s="77" t="str">
        <f>IF(B7="","",SUM($B$4:B7))</f>
        <v/>
      </c>
      <c r="D7" s="78" t="str">
        <f t="shared" si="0"/>
        <v/>
      </c>
      <c r="E7" s="35"/>
      <c r="F7" s="35" t="s">
        <v>61</v>
      </c>
      <c r="G7" s="35">
        <v>80</v>
      </c>
      <c r="H7" s="77">
        <f>SUM($G$4:G7)</f>
        <v>468</v>
      </c>
      <c r="I7" s="78">
        <f>H7/$G$20</f>
        <v>0.27432590855803046</v>
      </c>
      <c r="J7" s="35"/>
      <c r="K7" s="74" t="s">
        <v>62</v>
      </c>
      <c r="L7" s="77">
        <v>87</v>
      </c>
      <c r="M7" s="77">
        <v>339</v>
      </c>
      <c r="N7" s="78">
        <v>0.2873</v>
      </c>
      <c r="O7" s="74"/>
      <c r="P7" s="74" t="s">
        <v>63</v>
      </c>
      <c r="Q7" s="77">
        <v>52</v>
      </c>
      <c r="R7" s="77">
        <v>360</v>
      </c>
      <c r="S7" s="78">
        <v>0.32729999999999998</v>
      </c>
      <c r="T7" s="74"/>
      <c r="U7" s="74" t="s">
        <v>64</v>
      </c>
      <c r="V7" s="77">
        <v>121</v>
      </c>
      <c r="W7" s="77">
        <v>351</v>
      </c>
      <c r="X7" s="78">
        <v>0.32800000000000001</v>
      </c>
      <c r="Y7" s="74"/>
      <c r="Z7" s="74" t="s">
        <v>65</v>
      </c>
      <c r="AA7" s="77">
        <v>79</v>
      </c>
      <c r="AB7" s="77">
        <v>397</v>
      </c>
      <c r="AC7" s="78">
        <v>0.36899999999999999</v>
      </c>
      <c r="AD7" s="74"/>
      <c r="AE7" s="74" t="s">
        <v>66</v>
      </c>
      <c r="AF7" s="77">
        <v>96</v>
      </c>
      <c r="AG7" s="77">
        <v>341</v>
      </c>
      <c r="AH7" s="78">
        <v>0.35010000000000002</v>
      </c>
    </row>
    <row r="8" spans="1:34" x14ac:dyDescent="0.25">
      <c r="A8" s="35" t="s">
        <v>67</v>
      </c>
      <c r="B8" s="35"/>
      <c r="C8" s="77" t="str">
        <f>IF(B8="","",SUM($B$4:B8))</f>
        <v/>
      </c>
      <c r="D8" s="78" t="str">
        <f t="shared" si="0"/>
        <v/>
      </c>
      <c r="E8" s="35"/>
      <c r="F8" s="35" t="s">
        <v>68</v>
      </c>
      <c r="G8" s="35">
        <v>103</v>
      </c>
      <c r="H8" s="77">
        <f>SUM($G$4:G8)</f>
        <v>571</v>
      </c>
      <c r="I8" s="78">
        <f>H8/$G$20</f>
        <v>0.33470105509964831</v>
      </c>
      <c r="J8" s="35"/>
      <c r="K8" s="74" t="s">
        <v>69</v>
      </c>
      <c r="L8" s="77">
        <v>35</v>
      </c>
      <c r="M8" s="77">
        <v>374</v>
      </c>
      <c r="N8" s="78">
        <v>0.31690000000000002</v>
      </c>
      <c r="O8" s="74"/>
      <c r="P8" s="74" t="s">
        <v>70</v>
      </c>
      <c r="Q8" s="77">
        <v>67</v>
      </c>
      <c r="R8" s="77">
        <v>427</v>
      </c>
      <c r="S8" s="78">
        <v>0.38819999999999999</v>
      </c>
      <c r="T8" s="74"/>
      <c r="U8" s="74" t="s">
        <v>71</v>
      </c>
      <c r="V8" s="77">
        <v>34</v>
      </c>
      <c r="W8" s="77">
        <v>385</v>
      </c>
      <c r="X8" s="78">
        <v>0.35980000000000001</v>
      </c>
      <c r="Y8" s="74"/>
      <c r="Z8" s="74" t="s">
        <v>72</v>
      </c>
      <c r="AA8" s="77">
        <v>42</v>
      </c>
      <c r="AB8" s="77">
        <v>439</v>
      </c>
      <c r="AC8" s="78">
        <v>0.40799999999999997</v>
      </c>
      <c r="AD8" s="74"/>
      <c r="AE8" s="74" t="s">
        <v>73</v>
      </c>
      <c r="AF8" s="77">
        <v>28</v>
      </c>
      <c r="AG8" s="77">
        <v>369</v>
      </c>
      <c r="AH8" s="78">
        <v>0.37890000000000001</v>
      </c>
    </row>
    <row r="9" spans="1:34" x14ac:dyDescent="0.25">
      <c r="A9" s="74" t="s">
        <v>74</v>
      </c>
      <c r="B9" s="35"/>
      <c r="C9" s="77" t="str">
        <f>IF(B9="","",SUM($B$4:B9))</f>
        <v/>
      </c>
      <c r="D9" s="78" t="str">
        <f t="shared" si="0"/>
        <v/>
      </c>
      <c r="E9" s="35"/>
      <c r="F9" s="74" t="s">
        <v>75</v>
      </c>
      <c r="G9" s="35">
        <v>182</v>
      </c>
      <c r="H9" s="77">
        <f>SUM($G$4:G9)</f>
        <v>753</v>
      </c>
      <c r="I9" s="78">
        <v>0.44619999999999999</v>
      </c>
      <c r="J9" s="35"/>
      <c r="K9" s="74" t="s">
        <v>76</v>
      </c>
      <c r="L9" s="77">
        <v>153</v>
      </c>
      <c r="M9" s="77">
        <v>527</v>
      </c>
      <c r="N9" s="78">
        <v>0.4466</v>
      </c>
      <c r="O9" s="74"/>
      <c r="P9" s="74" t="s">
        <v>77</v>
      </c>
      <c r="Q9" s="77">
        <v>105</v>
      </c>
      <c r="R9" s="77">
        <v>532</v>
      </c>
      <c r="S9" s="78">
        <v>0.48359999999999997</v>
      </c>
      <c r="T9" s="74"/>
      <c r="U9" s="74" t="s">
        <v>78</v>
      </c>
      <c r="V9" s="77">
        <v>52</v>
      </c>
      <c r="W9" s="77">
        <v>437</v>
      </c>
      <c r="X9" s="78">
        <v>0.40839999999999999</v>
      </c>
      <c r="Y9" s="74"/>
      <c r="Z9" s="74" t="s">
        <v>79</v>
      </c>
      <c r="AA9" s="77">
        <v>53</v>
      </c>
      <c r="AB9" s="77">
        <v>492</v>
      </c>
      <c r="AC9" s="78">
        <v>0.4572</v>
      </c>
      <c r="AD9" s="74"/>
      <c r="AE9" s="74" t="s">
        <v>80</v>
      </c>
      <c r="AF9" s="77">
        <v>43</v>
      </c>
      <c r="AG9" s="77">
        <v>412</v>
      </c>
      <c r="AH9" s="78">
        <v>0.42299999999999999</v>
      </c>
    </row>
    <row r="10" spans="1:34" x14ac:dyDescent="0.25">
      <c r="A10" s="74" t="s">
        <v>81</v>
      </c>
      <c r="B10" s="35"/>
      <c r="C10" s="77" t="str">
        <f>IF(B10="","",SUM($B$4:B10))</f>
        <v/>
      </c>
      <c r="D10" s="78" t="str">
        <f t="shared" si="0"/>
        <v/>
      </c>
      <c r="E10" s="35"/>
      <c r="F10" s="74" t="s">
        <v>82</v>
      </c>
      <c r="G10" s="35">
        <v>72</v>
      </c>
      <c r="H10" s="77">
        <f>SUM($G$4:G10)</f>
        <v>825</v>
      </c>
      <c r="I10" s="78">
        <v>0.50580000000000003</v>
      </c>
      <c r="J10" s="35"/>
      <c r="K10" s="74" t="s">
        <v>83</v>
      </c>
      <c r="L10" s="77">
        <v>92</v>
      </c>
      <c r="M10" s="77">
        <v>619</v>
      </c>
      <c r="N10" s="78">
        <v>0.52459999999999996</v>
      </c>
      <c r="O10" s="74"/>
      <c r="P10" s="74" t="s">
        <v>84</v>
      </c>
      <c r="Q10" s="77">
        <v>88</v>
      </c>
      <c r="R10" s="77">
        <v>620</v>
      </c>
      <c r="S10" s="78">
        <v>0.56359999999999999</v>
      </c>
      <c r="T10" s="74"/>
      <c r="U10" s="74" t="s">
        <v>85</v>
      </c>
      <c r="V10" s="77">
        <v>64</v>
      </c>
      <c r="W10" s="77">
        <v>501</v>
      </c>
      <c r="X10" s="78">
        <v>0.46820000000000001</v>
      </c>
      <c r="Y10" s="74"/>
      <c r="Z10" s="74" t="s">
        <v>86</v>
      </c>
      <c r="AA10" s="77">
        <v>126</v>
      </c>
      <c r="AB10" s="77">
        <v>618</v>
      </c>
      <c r="AC10" s="78">
        <v>0.57430000000000003</v>
      </c>
      <c r="AD10" s="74"/>
      <c r="AE10" s="74" t="s">
        <v>87</v>
      </c>
      <c r="AF10" s="77">
        <v>61</v>
      </c>
      <c r="AG10" s="77">
        <v>473</v>
      </c>
      <c r="AH10" s="78">
        <v>0.48559999999999998</v>
      </c>
    </row>
    <row r="11" spans="1:34" x14ac:dyDescent="0.25">
      <c r="A11" s="74" t="s">
        <v>88</v>
      </c>
      <c r="B11" s="35"/>
      <c r="C11" s="77" t="str">
        <f>IF(B11="","",SUM($B$4:B11))</f>
        <v/>
      </c>
      <c r="D11" s="78" t="str">
        <f t="shared" si="0"/>
        <v/>
      </c>
      <c r="E11" s="35"/>
      <c r="F11" s="74" t="s">
        <v>89</v>
      </c>
      <c r="G11" s="35">
        <v>85</v>
      </c>
      <c r="H11" s="77">
        <f>SUM($G$4:G11)</f>
        <v>910</v>
      </c>
      <c r="I11" s="78">
        <v>0.59409999999999996</v>
      </c>
      <c r="J11" s="35"/>
      <c r="K11" s="74" t="s">
        <v>90</v>
      </c>
      <c r="L11" s="77">
        <v>110</v>
      </c>
      <c r="M11" s="77">
        <v>729</v>
      </c>
      <c r="N11" s="78">
        <v>0.61780000000000002</v>
      </c>
      <c r="O11" s="74"/>
      <c r="P11" s="74" t="s">
        <v>91</v>
      </c>
      <c r="Q11" s="77">
        <v>86</v>
      </c>
      <c r="R11" s="77">
        <v>706</v>
      </c>
      <c r="S11" s="78">
        <v>0.64180000000000004</v>
      </c>
      <c r="T11" s="74"/>
      <c r="U11" s="74" t="s">
        <v>92</v>
      </c>
      <c r="V11" s="77">
        <v>151</v>
      </c>
      <c r="W11" s="77">
        <v>652</v>
      </c>
      <c r="X11" s="78">
        <v>0.60929999999999995</v>
      </c>
      <c r="Y11" s="74"/>
      <c r="Z11" s="74" t="s">
        <v>93</v>
      </c>
      <c r="AA11" s="77">
        <v>132</v>
      </c>
      <c r="AB11" s="77">
        <v>750</v>
      </c>
      <c r="AC11" s="78">
        <v>0.69699999999999995</v>
      </c>
      <c r="AD11" s="74"/>
      <c r="AE11" s="74" t="s">
        <v>94</v>
      </c>
      <c r="AF11" s="77">
        <v>147</v>
      </c>
      <c r="AG11" s="77">
        <v>620</v>
      </c>
      <c r="AH11" s="78">
        <v>0.63660000000000005</v>
      </c>
    </row>
    <row r="12" spans="1:34" x14ac:dyDescent="0.25">
      <c r="A12" s="74" t="s">
        <v>95</v>
      </c>
      <c r="B12" s="35"/>
      <c r="C12" s="77" t="str">
        <f>IF(B12="","",SUM($B$4:B12))</f>
        <v/>
      </c>
      <c r="D12" s="78" t="str">
        <f t="shared" si="0"/>
        <v/>
      </c>
      <c r="E12" s="35"/>
      <c r="F12" s="74" t="s">
        <v>96</v>
      </c>
      <c r="G12" s="35">
        <v>118</v>
      </c>
      <c r="H12" s="77">
        <f>SUM($G$4:G12)</f>
        <v>1028</v>
      </c>
      <c r="I12" s="78">
        <v>0.71630000000000005</v>
      </c>
      <c r="J12" s="35"/>
      <c r="K12" s="74" t="s">
        <v>97</v>
      </c>
      <c r="L12" s="77">
        <v>104</v>
      </c>
      <c r="M12" s="77">
        <v>833</v>
      </c>
      <c r="N12" s="78">
        <v>0.70589999999999997</v>
      </c>
      <c r="O12" s="74"/>
      <c r="P12" s="74" t="s">
        <v>98</v>
      </c>
      <c r="Q12" s="77">
        <v>89</v>
      </c>
      <c r="R12" s="77">
        <v>795</v>
      </c>
      <c r="S12" s="78">
        <v>0.72270000000000001</v>
      </c>
      <c r="T12" s="74"/>
      <c r="U12" s="74" t="s">
        <v>99</v>
      </c>
      <c r="V12" s="77">
        <v>80</v>
      </c>
      <c r="W12" s="77">
        <v>732</v>
      </c>
      <c r="X12" s="78">
        <v>0.68410000000000004</v>
      </c>
      <c r="Y12" s="74"/>
      <c r="Z12" s="74" t="s">
        <v>100</v>
      </c>
      <c r="AA12" s="77">
        <v>83</v>
      </c>
      <c r="AB12" s="77">
        <v>833</v>
      </c>
      <c r="AC12" s="78">
        <v>0.7742</v>
      </c>
      <c r="AD12" s="74"/>
      <c r="AE12" s="74" t="s">
        <v>101</v>
      </c>
      <c r="AF12" s="77">
        <v>113</v>
      </c>
      <c r="AG12" s="77">
        <v>733</v>
      </c>
      <c r="AH12" s="78">
        <v>0.75260000000000005</v>
      </c>
    </row>
    <row r="13" spans="1:34" x14ac:dyDescent="0.25">
      <c r="A13" s="74" t="s">
        <v>102</v>
      </c>
      <c r="B13" s="35"/>
      <c r="C13" s="77" t="str">
        <f>IF(B13="","",SUM($B$4:B13))</f>
        <v/>
      </c>
      <c r="D13" s="78" t="str">
        <f t="shared" si="0"/>
        <v/>
      </c>
      <c r="E13" s="35"/>
      <c r="F13" s="74" t="s">
        <v>103</v>
      </c>
      <c r="G13" s="35">
        <v>68</v>
      </c>
      <c r="H13" s="77">
        <f>SUM($G$4:G13)</f>
        <v>1096</v>
      </c>
      <c r="I13" s="78">
        <v>0.7913</v>
      </c>
      <c r="J13" s="35"/>
      <c r="K13" s="74" t="s">
        <v>104</v>
      </c>
      <c r="L13" s="77">
        <v>79</v>
      </c>
      <c r="M13" s="77">
        <v>912</v>
      </c>
      <c r="N13" s="78">
        <v>0.77290000000000003</v>
      </c>
      <c r="O13" s="74"/>
      <c r="P13" s="74" t="s">
        <v>105</v>
      </c>
      <c r="Q13" s="77">
        <v>54</v>
      </c>
      <c r="R13" s="77">
        <v>849</v>
      </c>
      <c r="S13" s="78">
        <v>0.77180000000000004</v>
      </c>
      <c r="T13" s="74"/>
      <c r="U13" s="74" t="s">
        <v>106</v>
      </c>
      <c r="V13" s="77">
        <v>124</v>
      </c>
      <c r="W13" s="77">
        <v>856</v>
      </c>
      <c r="X13" s="78">
        <v>0.8</v>
      </c>
      <c r="Y13" s="74"/>
      <c r="Z13" s="74" t="s">
        <v>107</v>
      </c>
      <c r="AA13" s="77">
        <v>54</v>
      </c>
      <c r="AB13" s="77">
        <v>887</v>
      </c>
      <c r="AC13" s="78">
        <v>0.82430000000000003</v>
      </c>
      <c r="AD13" s="74"/>
      <c r="AE13" s="74" t="s">
        <v>108</v>
      </c>
      <c r="AF13" s="77">
        <v>38</v>
      </c>
      <c r="AG13" s="77">
        <v>771</v>
      </c>
      <c r="AH13" s="78">
        <v>0.79159999999999997</v>
      </c>
    </row>
    <row r="14" spans="1:34" x14ac:dyDescent="0.25">
      <c r="A14" s="74" t="s">
        <v>109</v>
      </c>
      <c r="B14" s="35"/>
      <c r="C14" s="77" t="str">
        <f>IF(B14="","",SUM($B$4:B14))</f>
        <v/>
      </c>
      <c r="D14" s="78" t="str">
        <f t="shared" si="0"/>
        <v/>
      </c>
      <c r="E14" s="35"/>
      <c r="F14" s="74" t="s">
        <v>110</v>
      </c>
      <c r="G14" s="35">
        <v>29</v>
      </c>
      <c r="H14" s="77">
        <f>SUM($G$4:G14)</f>
        <v>1125</v>
      </c>
      <c r="I14" s="78">
        <v>0.87049999999999994</v>
      </c>
      <c r="J14" s="35"/>
      <c r="K14" s="74" t="s">
        <v>111</v>
      </c>
      <c r="L14" s="77">
        <v>59</v>
      </c>
      <c r="M14" s="77">
        <v>971</v>
      </c>
      <c r="N14" s="78">
        <v>0.82289999999999996</v>
      </c>
      <c r="O14" s="74"/>
      <c r="P14" s="74" t="s">
        <v>112</v>
      </c>
      <c r="Q14" s="77">
        <v>54</v>
      </c>
      <c r="R14" s="77">
        <v>903</v>
      </c>
      <c r="S14" s="78">
        <v>0.82089999999999996</v>
      </c>
      <c r="T14" s="74"/>
      <c r="U14" s="74" t="s">
        <v>113</v>
      </c>
      <c r="V14" s="77">
        <v>60</v>
      </c>
      <c r="W14" s="77">
        <v>916</v>
      </c>
      <c r="X14" s="78">
        <v>0.85609999999999997</v>
      </c>
      <c r="Y14" s="74"/>
      <c r="Z14" s="74" t="s">
        <v>114</v>
      </c>
      <c r="AA14" s="77">
        <v>52</v>
      </c>
      <c r="AB14" s="77">
        <v>939</v>
      </c>
      <c r="AC14" s="78">
        <v>0.87270000000000003</v>
      </c>
      <c r="AD14" s="74"/>
      <c r="AE14" s="74" t="s">
        <v>115</v>
      </c>
      <c r="AF14" s="77">
        <v>95</v>
      </c>
      <c r="AG14" s="77">
        <v>866</v>
      </c>
      <c r="AH14" s="78">
        <v>0.8891</v>
      </c>
    </row>
    <row r="15" spans="1:34" x14ac:dyDescent="0.25">
      <c r="A15" s="74" t="s">
        <v>116</v>
      </c>
      <c r="B15" s="35"/>
      <c r="C15" s="77" t="str">
        <f>IF(B15="","",SUM($B$4:B15))</f>
        <v/>
      </c>
      <c r="D15" s="78" t="str">
        <f t="shared" si="0"/>
        <v/>
      </c>
      <c r="E15" s="35"/>
      <c r="F15" s="74" t="s">
        <v>117</v>
      </c>
      <c r="G15" s="35">
        <v>74</v>
      </c>
      <c r="H15" s="77">
        <f>SUM($G$4:G15)</f>
        <v>1199</v>
      </c>
      <c r="I15" s="78">
        <v>0.94110000000000005</v>
      </c>
      <c r="J15" s="35"/>
      <c r="K15" s="74" t="s">
        <v>118</v>
      </c>
      <c r="L15" s="77">
        <v>86</v>
      </c>
      <c r="M15" s="77">
        <v>1057</v>
      </c>
      <c r="N15" s="78">
        <v>0.89580000000000004</v>
      </c>
      <c r="O15" s="74"/>
      <c r="P15" s="74" t="s">
        <v>119</v>
      </c>
      <c r="Q15" s="77">
        <v>121</v>
      </c>
      <c r="R15" s="77">
        <v>1024</v>
      </c>
      <c r="S15" s="78">
        <v>0.93089999999999995</v>
      </c>
      <c r="T15" s="74"/>
      <c r="U15" s="74" t="s">
        <v>120</v>
      </c>
      <c r="V15" s="77">
        <v>69</v>
      </c>
      <c r="W15" s="77">
        <v>985</v>
      </c>
      <c r="X15" s="78">
        <v>0.92059999999999997</v>
      </c>
      <c r="Y15" s="74"/>
      <c r="Z15" s="74" t="s">
        <v>121</v>
      </c>
      <c r="AA15" s="77">
        <v>100</v>
      </c>
      <c r="AB15" s="77">
        <v>1039</v>
      </c>
      <c r="AC15" s="78">
        <v>0.96560000000000001</v>
      </c>
      <c r="AD15" s="74"/>
      <c r="AE15" s="74" t="s">
        <v>122</v>
      </c>
      <c r="AF15" s="77">
        <v>33</v>
      </c>
      <c r="AG15" s="77">
        <v>899</v>
      </c>
      <c r="AH15" s="78">
        <v>0.92300000000000004</v>
      </c>
    </row>
    <row r="16" spans="1:34" x14ac:dyDescent="0.25">
      <c r="A16" s="74" t="s">
        <v>123</v>
      </c>
      <c r="B16" s="35"/>
      <c r="C16" s="77" t="str">
        <f>IF(B16="","",SUM($B$4:B16))</f>
        <v/>
      </c>
      <c r="D16" s="78" t="str">
        <f t="shared" si="0"/>
        <v/>
      </c>
      <c r="E16" s="35"/>
      <c r="F16" s="74" t="s">
        <v>124</v>
      </c>
      <c r="G16" s="35">
        <v>2</v>
      </c>
      <c r="H16" s="77">
        <f>SUM($G$4:G16)</f>
        <v>1201</v>
      </c>
      <c r="I16" s="78">
        <v>0.95239999999999991</v>
      </c>
      <c r="J16" s="35"/>
      <c r="K16" s="74" t="s">
        <v>125</v>
      </c>
      <c r="L16" s="77">
        <v>42</v>
      </c>
      <c r="M16" s="77">
        <v>1099</v>
      </c>
      <c r="N16" s="78">
        <v>0.93140000000000001</v>
      </c>
      <c r="O16" s="74"/>
      <c r="P16" s="74" t="s">
        <v>126</v>
      </c>
      <c r="Q16" s="77">
        <v>12</v>
      </c>
      <c r="R16" s="77">
        <v>1036</v>
      </c>
      <c r="S16" s="78">
        <v>0.94179999999999997</v>
      </c>
      <c r="T16" s="74"/>
      <c r="U16" s="74" t="s">
        <v>127</v>
      </c>
      <c r="V16" s="77">
        <v>12</v>
      </c>
      <c r="W16" s="77">
        <v>997</v>
      </c>
      <c r="X16" s="78">
        <v>0.93179999999999996</v>
      </c>
      <c r="Y16" s="74"/>
      <c r="Z16" s="74" t="s">
        <v>128</v>
      </c>
      <c r="AA16" s="77">
        <v>5</v>
      </c>
      <c r="AB16" s="77">
        <v>1044</v>
      </c>
      <c r="AC16" s="78">
        <v>0.97030000000000005</v>
      </c>
      <c r="AD16" s="74"/>
      <c r="AE16" s="74" t="s">
        <v>129</v>
      </c>
      <c r="AF16" s="77">
        <v>33</v>
      </c>
      <c r="AG16" s="77">
        <v>932</v>
      </c>
      <c r="AH16" s="78">
        <v>0.95689999999999997</v>
      </c>
    </row>
    <row r="17" spans="1:61" x14ac:dyDescent="0.25">
      <c r="A17" s="74" t="s">
        <v>130</v>
      </c>
      <c r="B17" s="35"/>
      <c r="C17" s="77" t="str">
        <f>IF(B17="","",SUM($B$4:B17))</f>
        <v/>
      </c>
      <c r="D17" s="78" t="str">
        <f t="shared" si="0"/>
        <v/>
      </c>
      <c r="E17" s="35"/>
      <c r="F17" s="74" t="s">
        <v>46</v>
      </c>
      <c r="G17" s="35">
        <v>-5</v>
      </c>
      <c r="H17" s="77">
        <f>SUM($G$4:G17)</f>
        <v>1196</v>
      </c>
      <c r="I17" s="78">
        <v>0.95599999999999996</v>
      </c>
      <c r="J17" s="35"/>
      <c r="K17" s="74" t="s">
        <v>47</v>
      </c>
      <c r="L17" s="77">
        <v>29</v>
      </c>
      <c r="M17" s="77">
        <v>1128</v>
      </c>
      <c r="N17" s="78">
        <v>0.95589999999999997</v>
      </c>
      <c r="O17" s="74"/>
      <c r="P17" s="74" t="s">
        <v>48</v>
      </c>
      <c r="Q17" s="77">
        <v>2</v>
      </c>
      <c r="R17" s="77">
        <v>1038</v>
      </c>
      <c r="S17" s="78">
        <v>0.94359999999999999</v>
      </c>
      <c r="T17" s="74"/>
      <c r="U17" s="74" t="s">
        <v>49</v>
      </c>
      <c r="V17" s="77">
        <v>10</v>
      </c>
      <c r="W17" s="77">
        <v>1007</v>
      </c>
      <c r="X17" s="78">
        <v>0.94110000000000005</v>
      </c>
      <c r="Y17" s="74"/>
      <c r="Z17" s="74" t="s">
        <v>50</v>
      </c>
      <c r="AA17" s="77">
        <v>4</v>
      </c>
      <c r="AB17" s="77">
        <v>1048</v>
      </c>
      <c r="AC17" s="78">
        <v>0.97399999999999998</v>
      </c>
      <c r="AD17" s="74"/>
      <c r="AE17" s="74" t="s">
        <v>51</v>
      </c>
      <c r="AF17" s="77">
        <v>3</v>
      </c>
      <c r="AG17" s="77">
        <v>935</v>
      </c>
      <c r="AH17" s="78">
        <v>0.96</v>
      </c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</row>
    <row r="18" spans="1:61" x14ac:dyDescent="0.25">
      <c r="A18" s="74" t="s">
        <v>131</v>
      </c>
      <c r="B18" s="77"/>
      <c r="C18" s="77" t="str">
        <f>IF(B18="","",SUM($B$4:B18))</f>
        <v/>
      </c>
      <c r="D18" s="78" t="str">
        <f t="shared" si="0"/>
        <v/>
      </c>
      <c r="E18" s="35"/>
      <c r="F18" s="74" t="s">
        <v>132</v>
      </c>
      <c r="G18" s="77"/>
      <c r="H18" s="77"/>
      <c r="I18" s="78"/>
      <c r="J18" s="35"/>
      <c r="K18" s="74" t="s">
        <v>133</v>
      </c>
      <c r="L18" s="77">
        <v>7</v>
      </c>
      <c r="M18" s="77">
        <v>1135</v>
      </c>
      <c r="N18" s="78">
        <v>0.96189999999999998</v>
      </c>
      <c r="O18" s="74"/>
      <c r="P18" s="74" t="s">
        <v>134</v>
      </c>
      <c r="Q18" s="77">
        <v>15</v>
      </c>
      <c r="R18" s="77">
        <v>1053</v>
      </c>
      <c r="S18" s="78">
        <v>0.95730000000000004</v>
      </c>
      <c r="T18" s="74"/>
      <c r="U18" s="74" t="s">
        <v>135</v>
      </c>
      <c r="V18" s="77">
        <v>7</v>
      </c>
      <c r="W18" s="77">
        <v>1014</v>
      </c>
      <c r="X18" s="78">
        <v>0.94769999999999999</v>
      </c>
      <c r="Y18" s="74"/>
      <c r="Z18" s="74" t="s">
        <v>136</v>
      </c>
      <c r="AA18" s="77">
        <v>6</v>
      </c>
      <c r="AB18" s="77">
        <v>1054</v>
      </c>
      <c r="AC18" s="78">
        <v>0.97960000000000003</v>
      </c>
      <c r="AD18" s="74"/>
      <c r="AE18" s="74" t="s">
        <v>137</v>
      </c>
      <c r="AF18" s="77">
        <v>7</v>
      </c>
      <c r="AG18" s="77">
        <v>942</v>
      </c>
      <c r="AH18" s="78">
        <v>0.96709999999999996</v>
      </c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</row>
    <row r="19" spans="1:61" x14ac:dyDescent="0.25">
      <c r="A19" s="79" t="s">
        <v>138</v>
      </c>
      <c r="B19" s="77">
        <f>SUM(B4:B17)</f>
        <v>305</v>
      </c>
      <c r="C19" s="77"/>
      <c r="D19" s="77"/>
      <c r="E19" s="35"/>
      <c r="F19" s="79" t="s">
        <v>138</v>
      </c>
      <c r="G19" s="77">
        <f>SUM(G4:G17)</f>
        <v>1196</v>
      </c>
      <c r="H19" s="77"/>
      <c r="I19" s="77"/>
      <c r="J19" s="35"/>
      <c r="K19" s="79" t="s">
        <v>138</v>
      </c>
      <c r="L19" s="77">
        <v>1128</v>
      </c>
      <c r="M19" s="77"/>
      <c r="N19" s="77"/>
      <c r="O19" s="74"/>
      <c r="P19" s="79" t="s">
        <v>138</v>
      </c>
      <c r="Q19" s="77">
        <v>1038</v>
      </c>
      <c r="R19" s="77"/>
      <c r="S19" s="77"/>
      <c r="T19" s="74"/>
      <c r="U19" s="79" t="s">
        <v>138</v>
      </c>
      <c r="V19" s="77">
        <v>1007</v>
      </c>
      <c r="W19" s="77"/>
      <c r="X19" s="77"/>
      <c r="Y19" s="74"/>
      <c r="Z19" s="79" t="s">
        <v>138</v>
      </c>
      <c r="AA19" s="77">
        <v>1048</v>
      </c>
      <c r="AB19" s="77"/>
      <c r="AC19" s="77"/>
      <c r="AD19" s="74"/>
      <c r="AE19" s="79" t="s">
        <v>138</v>
      </c>
      <c r="AF19" s="77">
        <v>935</v>
      </c>
      <c r="AG19" s="77"/>
      <c r="AH19" s="77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</row>
    <row r="20" spans="1:61" x14ac:dyDescent="0.25">
      <c r="A20" s="35" t="s">
        <v>139</v>
      </c>
      <c r="B20" s="35">
        <v>1945</v>
      </c>
      <c r="C20" s="35"/>
      <c r="D20" s="35"/>
      <c r="E20" s="35"/>
      <c r="F20" s="35" t="s">
        <v>139</v>
      </c>
      <c r="G20" s="35">
        <v>1706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</row>
    <row r="22" spans="1:61" ht="18.95" customHeight="1" x14ac:dyDescent="0.3">
      <c r="A22" s="73" t="s">
        <v>140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</row>
    <row r="23" spans="1:61" x14ac:dyDescent="0.25">
      <c r="A23" s="37" t="s">
        <v>141</v>
      </c>
      <c r="B23" s="36" t="s">
        <v>142</v>
      </c>
      <c r="C23" s="36" t="s">
        <v>143</v>
      </c>
      <c r="D23" s="36" t="s">
        <v>144</v>
      </c>
      <c r="E23" s="36" t="s">
        <v>145</v>
      </c>
      <c r="F23" s="80" t="s">
        <v>146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7"/>
      <c r="AB23" s="36"/>
      <c r="AC23" s="36"/>
      <c r="AD23" s="36"/>
      <c r="AE23" s="36"/>
      <c r="AF23" s="36"/>
      <c r="AG23" s="36"/>
      <c r="AH23" s="36"/>
      <c r="AI23" s="37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5"/>
      <c r="BA23" s="35"/>
      <c r="BB23" s="35"/>
      <c r="BC23" s="35"/>
      <c r="BD23" s="35"/>
      <c r="BE23" s="35"/>
      <c r="BF23" s="35"/>
      <c r="BG23" s="35"/>
      <c r="BH23" s="35"/>
      <c r="BI23" s="35"/>
    </row>
    <row r="24" spans="1:61" x14ac:dyDescent="0.25">
      <c r="A24" s="37" t="s">
        <v>36</v>
      </c>
      <c r="B24" s="38">
        <v>0.1457</v>
      </c>
      <c r="C24" s="38">
        <v>0.14940000000000001</v>
      </c>
      <c r="D24" s="38">
        <v>0.15670000000000001</v>
      </c>
      <c r="E24" s="38">
        <v>0.15939999999999999</v>
      </c>
      <c r="F24" s="42">
        <v>0.1666</v>
      </c>
      <c r="G24" s="38"/>
      <c r="H24" s="39"/>
      <c r="I24" s="38"/>
      <c r="J24" s="38"/>
      <c r="K24" s="38"/>
      <c r="L24" s="38"/>
      <c r="M24" s="38"/>
      <c r="N24" s="38"/>
      <c r="O24" s="38"/>
      <c r="P24" s="38"/>
      <c r="Q24" s="38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1"/>
      <c r="AL24" s="40"/>
      <c r="AM24" s="40"/>
      <c r="AN24" s="40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35"/>
      <c r="BA24" s="35"/>
      <c r="BB24" s="35"/>
      <c r="BC24" s="35"/>
      <c r="BD24" s="35"/>
      <c r="BE24" s="35"/>
      <c r="BF24" s="35"/>
      <c r="BG24" s="35"/>
      <c r="BH24" s="35"/>
      <c r="BI24" s="35"/>
    </row>
    <row r="25" spans="1:6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43"/>
      <c r="T25" s="43"/>
      <c r="U25" s="43"/>
      <c r="V25" s="43"/>
      <c r="W25" s="43"/>
      <c r="X25" s="43"/>
      <c r="Y25" s="43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</row>
    <row r="26" spans="1:61" x14ac:dyDescent="0.25">
      <c r="A26" s="37" t="s">
        <v>147</v>
      </c>
      <c r="B26" s="36" t="s">
        <v>142</v>
      </c>
      <c r="C26" s="36" t="s">
        <v>143</v>
      </c>
      <c r="D26" s="36" t="s">
        <v>144</v>
      </c>
      <c r="E26" s="36" t="s">
        <v>145</v>
      </c>
      <c r="F26" s="80" t="s">
        <v>146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7"/>
      <c r="AB26" s="36"/>
      <c r="AC26" s="36"/>
      <c r="AD26" s="36"/>
      <c r="AE26" s="36"/>
      <c r="AF26" s="36"/>
      <c r="AG26" s="36"/>
      <c r="AH26" s="36"/>
      <c r="AI26" s="37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5"/>
      <c r="BA26" s="35"/>
      <c r="BB26" s="35"/>
      <c r="BC26" s="35"/>
      <c r="BD26" s="35"/>
      <c r="BE26" s="35"/>
      <c r="BF26" s="35"/>
      <c r="BG26" s="35"/>
      <c r="BH26" s="35"/>
      <c r="BI26" s="35"/>
    </row>
    <row r="27" spans="1:61" x14ac:dyDescent="0.25">
      <c r="A27" s="37" t="s">
        <v>148</v>
      </c>
      <c r="B27" s="44">
        <v>283</v>
      </c>
      <c r="C27" s="44">
        <v>292</v>
      </c>
      <c r="D27" s="44">
        <v>305</v>
      </c>
      <c r="E27" s="44">
        <v>310</v>
      </c>
      <c r="F27" s="35">
        <v>324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5"/>
      <c r="S27" s="46"/>
      <c r="T27" s="47"/>
      <c r="U27" s="47"/>
      <c r="V27" s="47"/>
      <c r="W27" s="47"/>
      <c r="X27" s="48"/>
      <c r="Y27" s="48"/>
      <c r="Z27" s="48"/>
      <c r="AA27" s="48"/>
      <c r="AB27" s="49"/>
      <c r="AC27" s="49"/>
      <c r="AD27" s="49"/>
      <c r="AE27" s="49"/>
      <c r="AF27" s="48"/>
      <c r="AG27" s="48"/>
      <c r="AH27" s="48"/>
      <c r="AI27" s="48"/>
      <c r="AJ27" s="48"/>
      <c r="AK27" s="48"/>
      <c r="AL27" s="48"/>
      <c r="AM27" s="48"/>
      <c r="AN27" s="48"/>
      <c r="AO27" s="35"/>
      <c r="AP27" s="35"/>
      <c r="AQ27" s="35"/>
      <c r="AR27" s="35"/>
      <c r="AS27" s="35"/>
      <c r="AT27" s="35"/>
      <c r="AU27" s="35"/>
      <c r="AV27" s="35"/>
      <c r="AW27" s="35"/>
      <c r="AX27" s="48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</row>
    <row r="28" spans="1:61" x14ac:dyDescent="0.25">
      <c r="A28" s="37" t="s">
        <v>149</v>
      </c>
      <c r="B28" s="44">
        <v>1081</v>
      </c>
      <c r="C28" s="44">
        <v>1078</v>
      </c>
      <c r="D28" s="44">
        <v>1064</v>
      </c>
      <c r="E28" s="44">
        <v>1060</v>
      </c>
      <c r="F28" s="35">
        <v>1049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5"/>
      <c r="S28" s="46"/>
      <c r="T28" s="47"/>
      <c r="U28" s="47"/>
      <c r="V28" s="47"/>
      <c r="W28" s="47"/>
      <c r="X28" s="48"/>
      <c r="Y28" s="48"/>
      <c r="Z28" s="48"/>
      <c r="AA28" s="48"/>
      <c r="AB28" s="49"/>
      <c r="AC28" s="49"/>
      <c r="AD28" s="49"/>
      <c r="AE28" s="49"/>
      <c r="AF28" s="48"/>
      <c r="AG28" s="48"/>
      <c r="AH28" s="48"/>
      <c r="AI28" s="48"/>
      <c r="AJ28" s="48"/>
      <c r="AK28" s="48"/>
      <c r="AL28" s="48"/>
      <c r="AM28" s="48"/>
      <c r="AN28" s="48"/>
      <c r="AO28" s="35"/>
      <c r="AP28" s="35"/>
      <c r="AQ28" s="35"/>
      <c r="AR28" s="35"/>
      <c r="AS28" s="35"/>
      <c r="AT28" s="35"/>
      <c r="AU28" s="35"/>
      <c r="AV28" s="35"/>
      <c r="AW28" s="35"/>
      <c r="AX28" s="48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</row>
    <row r="29" spans="1:61" x14ac:dyDescent="0.25">
      <c r="A29" s="44" t="s">
        <v>150</v>
      </c>
      <c r="B29" s="44">
        <v>8</v>
      </c>
      <c r="C29" s="44">
        <v>8</v>
      </c>
      <c r="D29" s="44">
        <v>8</v>
      </c>
      <c r="E29" s="44">
        <v>8</v>
      </c>
      <c r="F29" s="35">
        <v>8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7"/>
      <c r="U29" s="47"/>
      <c r="V29" s="47"/>
      <c r="W29" s="47"/>
      <c r="X29" s="48"/>
      <c r="Y29" s="48"/>
      <c r="Z29" s="48"/>
      <c r="AA29" s="48"/>
      <c r="AB29" s="49"/>
      <c r="AC29" s="49"/>
      <c r="AD29" s="49"/>
      <c r="AE29" s="49"/>
      <c r="AF29" s="48"/>
      <c r="AG29" s="48"/>
      <c r="AH29" s="48"/>
      <c r="AI29" s="48"/>
      <c r="AJ29" s="48"/>
      <c r="AK29" s="48"/>
      <c r="AL29" s="48"/>
      <c r="AM29" s="48"/>
      <c r="AN29" s="48"/>
      <c r="AO29" s="35"/>
      <c r="AP29" s="35"/>
      <c r="AQ29" s="35"/>
      <c r="AR29" s="35"/>
      <c r="AS29" s="35"/>
      <c r="AT29" s="35"/>
      <c r="AU29" s="35"/>
      <c r="AV29" s="35"/>
      <c r="AW29" s="35"/>
      <c r="AX29" s="48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</row>
    <row r="30" spans="1:61" x14ac:dyDescent="0.25">
      <c r="A30" s="37" t="s">
        <v>151</v>
      </c>
      <c r="B30" s="44">
        <v>579</v>
      </c>
      <c r="C30" s="44">
        <v>585</v>
      </c>
      <c r="D30" s="44">
        <v>578</v>
      </c>
      <c r="E30" s="44">
        <v>575</v>
      </c>
      <c r="F30" s="35">
        <v>572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5"/>
      <c r="S30" s="46"/>
      <c r="T30" s="47"/>
      <c r="U30" s="47"/>
      <c r="V30" s="47"/>
      <c r="W30" s="47"/>
      <c r="X30" s="48"/>
      <c r="Y30" s="48"/>
      <c r="Z30" s="48"/>
      <c r="AA30" s="48"/>
      <c r="AB30" s="49"/>
      <c r="AC30" s="49"/>
      <c r="AD30" s="49"/>
      <c r="AE30" s="49"/>
      <c r="AF30" s="48"/>
      <c r="AG30" s="48"/>
      <c r="AH30" s="48"/>
      <c r="AI30" s="48"/>
      <c r="AJ30" s="48"/>
      <c r="AK30" s="48"/>
      <c r="AL30" s="48"/>
      <c r="AM30" s="48"/>
      <c r="AN30" s="48"/>
      <c r="AO30" s="35"/>
      <c r="AP30" s="35"/>
      <c r="AQ30" s="35"/>
      <c r="AR30" s="35"/>
      <c r="AS30" s="35"/>
      <c r="AT30" s="50"/>
      <c r="AU30" s="50"/>
      <c r="AV30" s="50"/>
      <c r="AW30" s="50"/>
      <c r="AX30" s="51"/>
      <c r="AY30" s="50"/>
      <c r="AZ30" s="35"/>
      <c r="BA30" s="35"/>
      <c r="BB30" s="35"/>
      <c r="BC30" s="35"/>
      <c r="BD30" s="35"/>
      <c r="BE30" s="35"/>
      <c r="BF30" s="35"/>
      <c r="BG30" s="35"/>
      <c r="BH30" s="35"/>
      <c r="BI30" s="35"/>
    </row>
    <row r="31" spans="1:61" x14ac:dyDescent="0.25">
      <c r="A31" s="44" t="s">
        <v>152</v>
      </c>
      <c r="B31" s="44">
        <v>47</v>
      </c>
      <c r="C31" s="44">
        <v>47</v>
      </c>
      <c r="D31" s="44">
        <v>49</v>
      </c>
      <c r="E31" s="44">
        <v>49</v>
      </c>
      <c r="F31" s="35">
        <v>49</v>
      </c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5"/>
      <c r="S31" s="46"/>
      <c r="T31" s="47"/>
      <c r="U31" s="47"/>
      <c r="V31" s="47"/>
      <c r="W31" s="47"/>
      <c r="X31" s="48"/>
      <c r="Y31" s="48"/>
      <c r="Z31" s="48"/>
      <c r="AA31" s="48"/>
      <c r="AB31" s="49"/>
      <c r="AC31" s="49"/>
      <c r="AD31" s="49"/>
      <c r="AE31" s="49"/>
      <c r="AF31" s="48"/>
      <c r="AG31" s="48"/>
      <c r="AH31" s="48"/>
      <c r="AI31" s="48"/>
      <c r="AJ31" s="48"/>
      <c r="AK31" s="48"/>
      <c r="AL31" s="48"/>
      <c r="AM31" s="48"/>
      <c r="AN31" s="48"/>
      <c r="AO31" s="35"/>
      <c r="AP31" s="35"/>
      <c r="AQ31" s="35"/>
      <c r="AR31" s="35"/>
      <c r="AS31" s="35"/>
      <c r="AT31" s="35"/>
      <c r="AU31" s="35"/>
      <c r="AV31" s="35"/>
      <c r="AW31" s="35"/>
      <c r="AX31" s="48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</row>
    <row r="32" spans="1:61" x14ac:dyDescent="0.25">
      <c r="A32" s="44" t="s">
        <v>153</v>
      </c>
      <c r="B32" s="44">
        <v>7</v>
      </c>
      <c r="C32" s="44">
        <v>7</v>
      </c>
      <c r="D32" s="44">
        <v>7</v>
      </c>
      <c r="E32" s="44">
        <v>7</v>
      </c>
      <c r="F32" s="35">
        <v>7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  <c r="S32" s="46"/>
      <c r="T32" s="47"/>
      <c r="U32" s="47"/>
      <c r="V32" s="47"/>
      <c r="W32" s="47"/>
      <c r="X32" s="48"/>
      <c r="Y32" s="48"/>
      <c r="Z32" s="48"/>
      <c r="AA32" s="48"/>
      <c r="AB32" s="49"/>
      <c r="AC32" s="49"/>
      <c r="AD32" s="49"/>
      <c r="AE32" s="49"/>
      <c r="AF32" s="48"/>
      <c r="AG32" s="48"/>
      <c r="AH32" s="48"/>
      <c r="AI32" s="48"/>
      <c r="AJ32" s="48"/>
      <c r="AK32" s="48"/>
      <c r="AL32" s="48"/>
      <c r="AM32" s="48"/>
      <c r="AN32" s="48"/>
      <c r="AO32" s="35"/>
      <c r="AP32" s="35"/>
      <c r="AQ32" s="35"/>
      <c r="AR32" s="35"/>
      <c r="AS32" s="35"/>
      <c r="AT32" s="35"/>
      <c r="AU32" s="35"/>
      <c r="AV32" s="35"/>
      <c r="AW32" s="35"/>
      <c r="AX32" s="48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</row>
    <row r="33" spans="1:61" x14ac:dyDescent="0.25">
      <c r="A33" s="44" t="s">
        <v>154</v>
      </c>
      <c r="B33" s="44">
        <v>48</v>
      </c>
      <c r="C33" s="44">
        <v>47</v>
      </c>
      <c r="D33" s="44">
        <v>47</v>
      </c>
      <c r="E33" s="44">
        <v>46</v>
      </c>
      <c r="F33" s="35">
        <v>45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5"/>
      <c r="S33" s="46"/>
      <c r="T33" s="47"/>
      <c r="U33" s="47"/>
      <c r="V33" s="47"/>
      <c r="W33" s="47"/>
      <c r="X33" s="48"/>
      <c r="Y33" s="48"/>
      <c r="Z33" s="48"/>
      <c r="AA33" s="48"/>
      <c r="AB33" s="49"/>
      <c r="AC33" s="49"/>
      <c r="AD33" s="49"/>
      <c r="AE33" s="49"/>
      <c r="AF33" s="48"/>
      <c r="AG33" s="48"/>
      <c r="AH33" s="48"/>
      <c r="AI33" s="48"/>
      <c r="AJ33" s="48"/>
      <c r="AK33" s="48"/>
      <c r="AL33" s="48"/>
      <c r="AM33" s="48"/>
      <c r="AN33" s="48"/>
      <c r="AO33" s="35"/>
      <c r="AP33" s="35"/>
      <c r="AQ33" s="35"/>
      <c r="AR33" s="35"/>
      <c r="AS33" s="35"/>
      <c r="AT33" s="35"/>
      <c r="AU33" s="35"/>
      <c r="AV33" s="35"/>
      <c r="AW33" s="35"/>
      <c r="AX33" s="48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</row>
    <row r="34" spans="1:61" x14ac:dyDescent="0.25">
      <c r="A34" s="44" t="s">
        <v>155</v>
      </c>
      <c r="B34" s="44">
        <v>11</v>
      </c>
      <c r="C34" s="44">
        <v>11</v>
      </c>
      <c r="D34" s="44">
        <v>11</v>
      </c>
      <c r="E34" s="44">
        <v>11</v>
      </c>
      <c r="F34" s="35">
        <v>11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5"/>
      <c r="S34" s="46"/>
      <c r="T34" s="47"/>
      <c r="U34" s="47"/>
      <c r="V34" s="47"/>
      <c r="W34" s="47"/>
      <c r="X34" s="48"/>
      <c r="Y34" s="48"/>
      <c r="Z34" s="48"/>
      <c r="AA34" s="48"/>
      <c r="AB34" s="49"/>
      <c r="AC34" s="49"/>
      <c r="AD34" s="49"/>
      <c r="AE34" s="49"/>
      <c r="AF34" s="48"/>
      <c r="AG34" s="48"/>
      <c r="AH34" s="48"/>
      <c r="AI34" s="48"/>
      <c r="AJ34" s="48"/>
      <c r="AK34" s="48"/>
      <c r="AL34" s="48"/>
      <c r="AM34" s="48"/>
      <c r="AN34" s="48"/>
      <c r="AO34" s="35"/>
      <c r="AP34" s="35"/>
      <c r="AQ34" s="35"/>
      <c r="AR34" s="35"/>
      <c r="AS34" s="35"/>
      <c r="AT34" s="35"/>
      <c r="AU34" s="35"/>
      <c r="AV34" s="35"/>
      <c r="AW34" s="35"/>
      <c r="AX34" s="48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</row>
    <row r="35" spans="1:61" x14ac:dyDescent="0.25">
      <c r="A35" s="44" t="s">
        <v>156</v>
      </c>
      <c r="B35" s="44">
        <v>7</v>
      </c>
      <c r="C35" s="44">
        <v>7</v>
      </c>
      <c r="D35" s="44">
        <v>8</v>
      </c>
      <c r="E35" s="44">
        <v>8</v>
      </c>
      <c r="F35" s="35">
        <v>8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5"/>
      <c r="S35" s="46"/>
      <c r="T35" s="47"/>
      <c r="U35" s="47"/>
      <c r="V35" s="47"/>
      <c r="W35" s="47"/>
      <c r="X35" s="48"/>
      <c r="Y35" s="48"/>
      <c r="Z35" s="48"/>
      <c r="AA35" s="48"/>
      <c r="AB35" s="49"/>
      <c r="AC35" s="49"/>
      <c r="AD35" s="49"/>
      <c r="AE35" s="49"/>
      <c r="AF35" s="48"/>
      <c r="AG35" s="48"/>
      <c r="AH35" s="48"/>
      <c r="AI35" s="48"/>
      <c r="AJ35" s="48"/>
      <c r="AK35" s="48"/>
      <c r="AL35" s="48"/>
      <c r="AM35" s="48"/>
      <c r="AN35" s="48"/>
      <c r="AO35" s="35"/>
      <c r="AP35" s="35"/>
      <c r="AQ35" s="35"/>
      <c r="AR35" s="35"/>
      <c r="AS35" s="35"/>
      <c r="AT35" s="35"/>
      <c r="AU35" s="35"/>
      <c r="AV35" s="35"/>
      <c r="AW35" s="35"/>
      <c r="AX35" s="48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</row>
    <row r="36" spans="1:61" x14ac:dyDescent="0.25">
      <c r="A36" s="44" t="s">
        <v>157</v>
      </c>
      <c r="B36" s="44">
        <v>79</v>
      </c>
      <c r="C36" s="44">
        <v>79</v>
      </c>
      <c r="D36" s="44">
        <v>79</v>
      </c>
      <c r="E36" s="44">
        <v>80</v>
      </c>
      <c r="F36" s="55">
        <v>80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5"/>
      <c r="S36" s="46"/>
      <c r="T36" s="47"/>
      <c r="U36" s="47"/>
      <c r="V36" s="47"/>
      <c r="W36" s="47"/>
      <c r="X36" s="48"/>
      <c r="Y36" s="48"/>
      <c r="Z36" s="48"/>
      <c r="AA36" s="48"/>
      <c r="AB36" s="49"/>
      <c r="AC36" s="49"/>
      <c r="AD36" s="49"/>
      <c r="AE36" s="49"/>
      <c r="AF36" s="48"/>
      <c r="AG36" s="48"/>
      <c r="AH36" s="48"/>
      <c r="AI36" s="48"/>
      <c r="AJ36" s="48"/>
      <c r="AK36" s="48"/>
      <c r="AL36" s="48"/>
      <c r="AM36" s="48"/>
      <c r="AN36" s="48"/>
      <c r="AO36" s="35"/>
      <c r="AP36" s="35"/>
      <c r="AQ36" s="35"/>
      <c r="AR36" s="35"/>
      <c r="AS36" s="35"/>
      <c r="AT36" s="35"/>
      <c r="AU36" s="35"/>
      <c r="AV36" s="35"/>
      <c r="AW36" s="35"/>
      <c r="AX36" s="48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</row>
    <row r="37" spans="1:61" x14ac:dyDescent="0.25">
      <c r="A37" s="3" t="s">
        <v>158</v>
      </c>
      <c r="B37" s="4">
        <v>2150</v>
      </c>
      <c r="C37" s="4">
        <v>2161</v>
      </c>
      <c r="D37" s="4">
        <v>2156</v>
      </c>
      <c r="E37" s="4">
        <v>2154</v>
      </c>
      <c r="F37" s="35">
        <v>2153</v>
      </c>
      <c r="G37" s="44"/>
      <c r="H37" s="52"/>
      <c r="I37" s="44"/>
      <c r="J37" s="44"/>
      <c r="K37" s="44"/>
      <c r="L37" s="44"/>
      <c r="M37" s="44"/>
      <c r="N37" s="44"/>
      <c r="O37" s="44"/>
      <c r="P37" s="44"/>
      <c r="Q37" s="44"/>
      <c r="R37" s="45"/>
      <c r="S37" s="46"/>
      <c r="T37" s="47"/>
      <c r="U37" s="47"/>
      <c r="V37" s="47"/>
      <c r="W37" s="47"/>
      <c r="X37" s="48"/>
      <c r="Y37" s="48"/>
      <c r="Z37" s="48"/>
      <c r="AA37" s="48"/>
      <c r="AB37" s="49"/>
      <c r="AC37" s="49"/>
      <c r="AD37" s="49"/>
      <c r="AE37" s="49"/>
      <c r="AF37" s="48"/>
      <c r="AG37" s="48"/>
      <c r="AH37" s="48"/>
      <c r="AI37" s="48"/>
      <c r="AJ37" s="48"/>
      <c r="AK37" s="48"/>
      <c r="AL37" s="48"/>
      <c r="AM37" s="48"/>
      <c r="AN37" s="48"/>
      <c r="AO37" s="35"/>
      <c r="AP37" s="35"/>
      <c r="AQ37" s="35"/>
      <c r="AR37" s="35"/>
      <c r="AS37" s="35"/>
      <c r="AT37" s="35"/>
      <c r="AU37" s="35"/>
      <c r="AV37" s="35"/>
      <c r="AW37" s="35"/>
      <c r="AX37" s="48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</row>
    <row r="38" spans="1:6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</row>
    <row r="39" spans="1:61" ht="21.95" customHeight="1" x14ac:dyDescent="0.35">
      <c r="A39" s="72" t="s">
        <v>159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</row>
    <row r="40" spans="1:61" x14ac:dyDescent="0.25">
      <c r="A40" s="37" t="s">
        <v>141</v>
      </c>
      <c r="B40" s="36" t="s">
        <v>142</v>
      </c>
      <c r="C40" s="36" t="s">
        <v>143</v>
      </c>
      <c r="D40" s="36" t="s">
        <v>144</v>
      </c>
      <c r="E40" s="36" t="s">
        <v>145</v>
      </c>
      <c r="F40" s="80" t="s">
        <v>146</v>
      </c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5"/>
      <c r="BA40" s="35"/>
      <c r="BB40" s="35"/>
      <c r="BC40" s="35"/>
      <c r="BD40" s="35"/>
      <c r="BE40" s="35"/>
      <c r="BF40" s="35"/>
      <c r="BG40" s="35"/>
      <c r="BH40" s="35"/>
      <c r="BI40" s="35"/>
    </row>
    <row r="41" spans="1:61" x14ac:dyDescent="0.25">
      <c r="A41" s="81" t="s">
        <v>36</v>
      </c>
      <c r="B41" s="40">
        <v>0.1293</v>
      </c>
      <c r="C41" s="40">
        <v>0.1293</v>
      </c>
      <c r="D41" s="40">
        <v>0.13700000000000001</v>
      </c>
      <c r="E41" s="40">
        <v>0.13700000000000001</v>
      </c>
      <c r="F41" s="42">
        <v>0.1419</v>
      </c>
      <c r="G41" s="40"/>
      <c r="H41" s="53"/>
      <c r="I41" s="40"/>
      <c r="J41" s="40"/>
      <c r="K41" s="40"/>
      <c r="L41" s="40"/>
      <c r="M41" s="40"/>
      <c r="N41" s="40"/>
      <c r="O41" s="40"/>
      <c r="P41" s="40"/>
      <c r="Q41" s="40"/>
      <c r="R41" s="53"/>
      <c r="S41" s="53"/>
      <c r="T41" s="53"/>
      <c r="U41" s="53"/>
      <c r="V41" s="53"/>
      <c r="W41" s="53"/>
      <c r="X41" s="53"/>
      <c r="Y41" s="42"/>
      <c r="Z41" s="42"/>
      <c r="AA41" s="42"/>
      <c r="AB41" s="42"/>
      <c r="AC41" s="42"/>
      <c r="AD41" s="42"/>
      <c r="AE41" s="53"/>
      <c r="AF41" s="53"/>
      <c r="AG41" s="53"/>
      <c r="AH41" s="42"/>
      <c r="AI41" s="54"/>
      <c r="AJ41" s="54"/>
      <c r="AK41" s="54"/>
      <c r="AL41" s="54"/>
      <c r="AM41" s="54"/>
      <c r="AN41" s="54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35"/>
      <c r="BA41" s="35"/>
      <c r="BB41" s="35"/>
      <c r="BC41" s="35"/>
      <c r="BD41" s="35"/>
      <c r="BE41" s="35"/>
      <c r="BF41" s="35"/>
      <c r="BG41" s="35"/>
      <c r="BH41" s="35"/>
      <c r="BI41" s="35"/>
    </row>
    <row r="42" spans="1:6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</row>
    <row r="43" spans="1:61" x14ac:dyDescent="0.25">
      <c r="A43" s="37" t="s">
        <v>147</v>
      </c>
      <c r="B43" s="36" t="s">
        <v>142</v>
      </c>
      <c r="C43" s="36" t="s">
        <v>143</v>
      </c>
      <c r="D43" s="36" t="s">
        <v>144</v>
      </c>
      <c r="E43" s="36" t="s">
        <v>145</v>
      </c>
      <c r="F43" s="80" t="s">
        <v>146</v>
      </c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5"/>
      <c r="BA43" s="35"/>
      <c r="BB43" s="35"/>
      <c r="BC43" s="35"/>
      <c r="BD43" s="35"/>
      <c r="BE43" s="35"/>
      <c r="BF43" s="35"/>
      <c r="BG43" s="35"/>
      <c r="BH43" s="35"/>
      <c r="BI43" s="35"/>
    </row>
    <row r="44" spans="1:61" x14ac:dyDescent="0.25">
      <c r="A44" s="81" t="s">
        <v>148</v>
      </c>
      <c r="B44" s="48">
        <v>19</v>
      </c>
      <c r="C44" s="48">
        <v>19</v>
      </c>
      <c r="D44" s="48">
        <v>20</v>
      </c>
      <c r="E44" s="48">
        <v>20</v>
      </c>
      <c r="F44" s="35">
        <v>21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</row>
    <row r="45" spans="1:61" x14ac:dyDescent="0.25">
      <c r="A45" s="81" t="s">
        <v>149</v>
      </c>
      <c r="B45" s="48">
        <v>93</v>
      </c>
      <c r="C45" s="48">
        <v>94</v>
      </c>
      <c r="D45" s="48">
        <v>92</v>
      </c>
      <c r="E45" s="48">
        <v>92</v>
      </c>
      <c r="F45" s="35">
        <v>93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35"/>
      <c r="BA45" s="35"/>
      <c r="BB45" s="35"/>
      <c r="BC45" s="35"/>
      <c r="BD45" s="35"/>
      <c r="BE45" s="35"/>
      <c r="BF45" s="35"/>
      <c r="BG45" s="35"/>
      <c r="BH45" s="35"/>
      <c r="BI45" s="35"/>
    </row>
    <row r="46" spans="1:61" x14ac:dyDescent="0.25">
      <c r="A46" s="48" t="s">
        <v>150</v>
      </c>
      <c r="B46" s="6" t="s">
        <v>160</v>
      </c>
      <c r="C46" s="6" t="s">
        <v>160</v>
      </c>
      <c r="D46" s="6" t="s">
        <v>160</v>
      </c>
      <c r="E46" s="6" t="s">
        <v>160</v>
      </c>
      <c r="F46" s="50" t="s">
        <v>160</v>
      </c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35"/>
      <c r="BA46" s="35"/>
      <c r="BB46" s="35"/>
      <c r="BC46" s="35"/>
      <c r="BD46" s="35"/>
      <c r="BE46" s="35"/>
      <c r="BF46" s="35"/>
      <c r="BG46" s="35"/>
      <c r="BH46" s="35"/>
      <c r="BI46" s="35"/>
    </row>
    <row r="47" spans="1:61" x14ac:dyDescent="0.25">
      <c r="A47" s="81" t="s">
        <v>151</v>
      </c>
      <c r="B47" s="48">
        <v>35</v>
      </c>
      <c r="C47" s="48">
        <v>34</v>
      </c>
      <c r="D47" s="48">
        <v>34</v>
      </c>
      <c r="E47" s="48">
        <v>34</v>
      </c>
      <c r="F47" s="35">
        <v>34</v>
      </c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35"/>
      <c r="BA47" s="35"/>
      <c r="BB47" s="35"/>
      <c r="BC47" s="35"/>
      <c r="BD47" s="35"/>
      <c r="BE47" s="35"/>
      <c r="BF47" s="35"/>
      <c r="BG47" s="35"/>
      <c r="BH47" s="35"/>
      <c r="BI47" s="35"/>
    </row>
    <row r="48" spans="1:61" x14ac:dyDescent="0.25">
      <c r="A48" s="48" t="s">
        <v>152</v>
      </c>
      <c r="B48" s="48">
        <v>4</v>
      </c>
      <c r="C48" s="48">
        <v>4</v>
      </c>
      <c r="D48" s="48">
        <v>5</v>
      </c>
      <c r="E48" s="48">
        <v>5</v>
      </c>
      <c r="F48" s="35">
        <v>5</v>
      </c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</row>
    <row r="49" spans="1:61" x14ac:dyDescent="0.25">
      <c r="A49" s="48" t="s">
        <v>153</v>
      </c>
      <c r="B49" s="48" t="s">
        <v>160</v>
      </c>
      <c r="C49" s="48" t="s">
        <v>160</v>
      </c>
      <c r="D49" s="48" t="s">
        <v>160</v>
      </c>
      <c r="E49" s="48" t="s">
        <v>160</v>
      </c>
      <c r="F49" s="50" t="s">
        <v>160</v>
      </c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</row>
    <row r="50" spans="1:61" x14ac:dyDescent="0.25">
      <c r="A50" s="48" t="s">
        <v>154</v>
      </c>
      <c r="B50" s="48">
        <v>3</v>
      </c>
      <c r="C50" s="48">
        <v>3</v>
      </c>
      <c r="D50" s="48">
        <v>3</v>
      </c>
      <c r="E50" s="48">
        <v>3</v>
      </c>
      <c r="F50" s="35">
        <v>3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</row>
    <row r="51" spans="1:61" x14ac:dyDescent="0.25">
      <c r="A51" s="48" t="s">
        <v>155</v>
      </c>
      <c r="B51" s="48">
        <v>1</v>
      </c>
      <c r="C51" s="48">
        <v>1</v>
      </c>
      <c r="D51" s="48">
        <v>1</v>
      </c>
      <c r="E51" s="48">
        <v>1</v>
      </c>
      <c r="F51" s="35">
        <v>1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</row>
    <row r="52" spans="1:61" x14ac:dyDescent="0.25">
      <c r="A52" s="48" t="s">
        <v>156</v>
      </c>
      <c r="B52" s="6" t="s">
        <v>160</v>
      </c>
      <c r="C52" s="6" t="s">
        <v>160</v>
      </c>
      <c r="D52" s="6" t="s">
        <v>160</v>
      </c>
      <c r="E52" s="6" t="s">
        <v>160</v>
      </c>
      <c r="F52" s="50" t="s">
        <v>160</v>
      </c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35"/>
      <c r="BA52" s="35"/>
      <c r="BB52" s="35"/>
      <c r="BC52" s="35"/>
      <c r="BD52" s="35"/>
      <c r="BE52" s="35"/>
      <c r="BF52" s="35"/>
      <c r="BG52" s="35"/>
      <c r="BH52" s="35"/>
      <c r="BI52" s="35"/>
    </row>
    <row r="53" spans="1:61" x14ac:dyDescent="0.25">
      <c r="A53" s="48" t="s">
        <v>157</v>
      </c>
      <c r="B53" s="6">
        <v>2</v>
      </c>
      <c r="C53" s="6">
        <v>2</v>
      </c>
      <c r="D53" s="6">
        <v>2</v>
      </c>
      <c r="E53" s="6">
        <v>2</v>
      </c>
      <c r="F53" s="55">
        <v>2</v>
      </c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</row>
    <row r="54" spans="1:61" x14ac:dyDescent="0.25">
      <c r="A54" s="1" t="s">
        <v>158</v>
      </c>
      <c r="B54" s="2">
        <v>157</v>
      </c>
      <c r="C54" s="2">
        <v>157</v>
      </c>
      <c r="D54" s="2">
        <v>157</v>
      </c>
      <c r="E54" s="2">
        <v>157</v>
      </c>
      <c r="F54" s="35">
        <v>159</v>
      </c>
      <c r="G54" s="48"/>
      <c r="H54" s="51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</row>
    <row r="55" spans="1:6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</row>
    <row r="56" spans="1:61" ht="21.95" customHeight="1" x14ac:dyDescent="0.35">
      <c r="A56" s="72" t="s">
        <v>161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</row>
    <row r="57" spans="1:61" x14ac:dyDescent="0.25">
      <c r="A57" s="37" t="s">
        <v>141</v>
      </c>
      <c r="B57" s="36" t="s">
        <v>142</v>
      </c>
      <c r="C57" s="36" t="s">
        <v>143</v>
      </c>
      <c r="D57" s="36" t="s">
        <v>144</v>
      </c>
      <c r="E57" s="36" t="s">
        <v>145</v>
      </c>
      <c r="F57" s="80" t="s">
        <v>146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5"/>
      <c r="BA57" s="35"/>
      <c r="BB57" s="35"/>
      <c r="BC57" s="35"/>
      <c r="BD57" s="35"/>
      <c r="BE57" s="35"/>
      <c r="BF57" s="35"/>
      <c r="BG57" s="35"/>
      <c r="BH57" s="35"/>
      <c r="BI57" s="35"/>
    </row>
    <row r="58" spans="1:61" x14ac:dyDescent="0.25">
      <c r="A58" s="81" t="s">
        <v>36</v>
      </c>
      <c r="B58" s="40">
        <v>4.7600000000000003E-2</v>
      </c>
      <c r="C58" s="40">
        <v>5.2600000000000001E-2</v>
      </c>
      <c r="D58" s="40">
        <v>5.2600000000000001E-2</v>
      </c>
      <c r="E58" s="40">
        <v>5.2600000000000001E-2</v>
      </c>
      <c r="F58" s="42">
        <v>5.2600000000000001E-2</v>
      </c>
      <c r="G58" s="40"/>
      <c r="H58" s="53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2"/>
      <c r="Z58" s="42"/>
      <c r="AA58" s="42"/>
      <c r="AB58" s="42"/>
      <c r="AC58" s="42"/>
      <c r="AD58" s="42"/>
      <c r="AE58" s="42"/>
      <c r="AF58" s="42"/>
      <c r="AG58" s="42"/>
      <c r="AH58" s="41"/>
      <c r="AI58" s="41"/>
      <c r="AJ58" s="41"/>
      <c r="AK58" s="41"/>
      <c r="AL58" s="41"/>
      <c r="AM58" s="41"/>
      <c r="AN58" s="41"/>
      <c r="AO58" s="42"/>
      <c r="AP58" s="42"/>
      <c r="AQ58" s="42"/>
      <c r="AR58" s="42"/>
      <c r="AS58" s="42"/>
      <c r="AT58" s="41"/>
      <c r="AU58" s="42"/>
      <c r="AV58" s="41"/>
      <c r="AW58" s="40"/>
      <c r="AX58" s="42"/>
      <c r="AY58" s="42"/>
      <c r="AZ58" s="35"/>
      <c r="BA58" s="35"/>
      <c r="BB58" s="35"/>
      <c r="BC58" s="35"/>
      <c r="BD58" s="35"/>
      <c r="BE58" s="35"/>
      <c r="BF58" s="35"/>
      <c r="BG58" s="35"/>
      <c r="BH58" s="35"/>
      <c r="BI58" s="35"/>
    </row>
    <row r="59" spans="1:61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</row>
    <row r="60" spans="1:61" x14ac:dyDescent="0.25">
      <c r="A60" s="37" t="s">
        <v>147</v>
      </c>
      <c r="B60" s="36" t="s">
        <v>142</v>
      </c>
      <c r="C60" s="36" t="s">
        <v>143</v>
      </c>
      <c r="D60" s="36" t="s">
        <v>144</v>
      </c>
      <c r="E60" s="36" t="s">
        <v>145</v>
      </c>
      <c r="F60" s="80" t="s">
        <v>146</v>
      </c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5"/>
      <c r="BA60" s="35"/>
      <c r="BB60" s="35"/>
      <c r="BC60" s="35"/>
      <c r="BD60" s="35"/>
      <c r="BE60" s="35"/>
      <c r="BF60" s="35"/>
      <c r="BG60" s="35"/>
      <c r="BH60" s="35"/>
      <c r="BI60" s="35"/>
    </row>
    <row r="61" spans="1:61" x14ac:dyDescent="0.25">
      <c r="A61" s="81" t="s">
        <v>148</v>
      </c>
      <c r="B61" s="48">
        <v>9</v>
      </c>
      <c r="C61" s="48">
        <v>10</v>
      </c>
      <c r="D61" s="48">
        <v>10</v>
      </c>
      <c r="E61" s="48">
        <v>10</v>
      </c>
      <c r="F61" s="35">
        <v>10</v>
      </c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</row>
    <row r="62" spans="1:61" x14ac:dyDescent="0.25">
      <c r="A62" s="81" t="s">
        <v>149</v>
      </c>
      <c r="B62" s="48">
        <v>22</v>
      </c>
      <c r="C62" s="48">
        <v>22</v>
      </c>
      <c r="D62" s="48">
        <v>22</v>
      </c>
      <c r="E62" s="48">
        <v>22</v>
      </c>
      <c r="F62" s="35">
        <v>22</v>
      </c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</row>
    <row r="63" spans="1:61" ht="32.1" customHeight="1" x14ac:dyDescent="0.25">
      <c r="A63" s="82" t="s">
        <v>150</v>
      </c>
      <c r="B63" s="6" t="s">
        <v>160</v>
      </c>
      <c r="C63" s="6" t="s">
        <v>160</v>
      </c>
      <c r="D63" s="6" t="s">
        <v>160</v>
      </c>
      <c r="E63" s="6" t="s">
        <v>160</v>
      </c>
      <c r="F63" s="50" t="s">
        <v>160</v>
      </c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</row>
    <row r="64" spans="1:61" x14ac:dyDescent="0.25">
      <c r="A64" s="81" t="s">
        <v>151</v>
      </c>
      <c r="B64" s="48">
        <v>158</v>
      </c>
      <c r="C64" s="48">
        <v>158</v>
      </c>
      <c r="D64" s="48">
        <v>158</v>
      </c>
      <c r="E64" s="48">
        <v>158</v>
      </c>
      <c r="F64" s="35">
        <v>158</v>
      </c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50"/>
      <c r="AS64" s="50"/>
      <c r="AT64" s="50"/>
      <c r="AU64" s="50"/>
      <c r="AV64" s="50"/>
      <c r="AW64" s="50"/>
      <c r="AX64" s="50"/>
      <c r="AY64" s="50"/>
      <c r="AZ64" s="35"/>
      <c r="BA64" s="35"/>
      <c r="BB64" s="35"/>
      <c r="BC64" s="35"/>
      <c r="BD64" s="35"/>
      <c r="BE64" s="35"/>
      <c r="BF64" s="35"/>
      <c r="BG64" s="35"/>
      <c r="BH64" s="35"/>
      <c r="BI64" s="35"/>
    </row>
    <row r="65" spans="1:61" x14ac:dyDescent="0.25">
      <c r="A65" s="48" t="s">
        <v>152</v>
      </c>
      <c r="B65" s="48">
        <v>1</v>
      </c>
      <c r="C65" s="48">
        <v>1</v>
      </c>
      <c r="D65" s="48">
        <v>1</v>
      </c>
      <c r="E65" s="48">
        <v>1</v>
      </c>
      <c r="F65" s="35">
        <v>1</v>
      </c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</row>
    <row r="66" spans="1:61" x14ac:dyDescent="0.25">
      <c r="A66" s="48" t="s">
        <v>153</v>
      </c>
      <c r="B66" s="48">
        <v>2</v>
      </c>
      <c r="C66" s="48">
        <v>2</v>
      </c>
      <c r="D66" s="48">
        <v>2</v>
      </c>
      <c r="E66" s="48">
        <v>2</v>
      </c>
      <c r="F66" s="35">
        <v>2</v>
      </c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</row>
    <row r="67" spans="1:61" x14ac:dyDescent="0.25">
      <c r="A67" s="48" t="s">
        <v>154</v>
      </c>
      <c r="B67" s="6" t="s">
        <v>160</v>
      </c>
      <c r="C67" s="6" t="s">
        <v>160</v>
      </c>
      <c r="D67" s="6" t="s">
        <v>160</v>
      </c>
      <c r="E67" s="6" t="s">
        <v>160</v>
      </c>
      <c r="F67" s="50" t="s">
        <v>160</v>
      </c>
      <c r="G67" s="51"/>
      <c r="H67" s="51"/>
      <c r="I67" s="51"/>
      <c r="J67" s="51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</row>
    <row r="68" spans="1:61" x14ac:dyDescent="0.25">
      <c r="A68" s="48" t="s">
        <v>155</v>
      </c>
      <c r="B68" s="48" t="s">
        <v>160</v>
      </c>
      <c r="C68" s="48" t="s">
        <v>160</v>
      </c>
      <c r="D68" s="48" t="s">
        <v>160</v>
      </c>
      <c r="E68" s="48" t="s">
        <v>160</v>
      </c>
      <c r="F68" s="50" t="s">
        <v>160</v>
      </c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</row>
    <row r="69" spans="1:61" x14ac:dyDescent="0.25">
      <c r="A69" s="48" t="s">
        <v>156</v>
      </c>
      <c r="B69" s="6" t="s">
        <v>160</v>
      </c>
      <c r="C69" s="6" t="s">
        <v>160</v>
      </c>
      <c r="D69" s="6" t="s">
        <v>160</v>
      </c>
      <c r="E69" s="6" t="s">
        <v>160</v>
      </c>
      <c r="F69" s="50" t="s">
        <v>160</v>
      </c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35"/>
      <c r="BA69" s="35"/>
      <c r="BB69" s="35"/>
      <c r="BC69" s="35"/>
      <c r="BD69" s="35"/>
      <c r="BE69" s="35"/>
      <c r="BF69" s="35"/>
      <c r="BG69" s="35"/>
      <c r="BH69" s="35"/>
      <c r="BI69" s="35"/>
    </row>
    <row r="70" spans="1:61" x14ac:dyDescent="0.25">
      <c r="A70" s="48" t="s">
        <v>157</v>
      </c>
      <c r="B70" s="48">
        <v>2</v>
      </c>
      <c r="C70" s="48">
        <v>1</v>
      </c>
      <c r="D70" s="48">
        <v>1</v>
      </c>
      <c r="E70" s="48">
        <v>1</v>
      </c>
      <c r="F70" s="55">
        <v>1</v>
      </c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</row>
    <row r="71" spans="1:61" x14ac:dyDescent="0.25">
      <c r="A71" s="1" t="s">
        <v>158</v>
      </c>
      <c r="B71" s="2">
        <v>194</v>
      </c>
      <c r="C71" s="2">
        <v>194</v>
      </c>
      <c r="D71" s="2">
        <v>194</v>
      </c>
      <c r="E71" s="2">
        <v>194</v>
      </c>
      <c r="F71" s="35">
        <v>194</v>
      </c>
      <c r="G71" s="48"/>
      <c r="H71" s="51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</row>
    <row r="72" spans="1:6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</row>
    <row r="73" spans="1:61" ht="21.95" customHeight="1" x14ac:dyDescent="0.35">
      <c r="A73" s="72" t="s">
        <v>162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</row>
    <row r="74" spans="1:61" x14ac:dyDescent="0.25">
      <c r="A74" s="37" t="s">
        <v>141</v>
      </c>
      <c r="B74" s="36" t="s">
        <v>142</v>
      </c>
      <c r="C74" s="36" t="s">
        <v>143</v>
      </c>
      <c r="D74" s="36" t="s">
        <v>144</v>
      </c>
      <c r="E74" s="36" t="s">
        <v>145</v>
      </c>
      <c r="F74" s="80" t="s">
        <v>146</v>
      </c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5"/>
      <c r="BA74" s="35"/>
      <c r="BB74" s="35"/>
      <c r="BC74" s="35"/>
      <c r="BD74" s="35"/>
      <c r="BE74" s="35"/>
      <c r="BF74" s="35"/>
      <c r="BG74" s="35"/>
      <c r="BH74" s="35"/>
      <c r="BI74" s="35"/>
    </row>
    <row r="75" spans="1:61" x14ac:dyDescent="0.25">
      <c r="A75" s="81" t="s">
        <v>36</v>
      </c>
      <c r="B75" s="40">
        <v>0.2203</v>
      </c>
      <c r="C75" s="40">
        <v>0.2203</v>
      </c>
      <c r="D75" s="40">
        <v>0.2203</v>
      </c>
      <c r="E75" s="7">
        <v>0.2203</v>
      </c>
      <c r="F75" s="42">
        <v>0.2203</v>
      </c>
      <c r="G75" s="40"/>
      <c r="H75" s="5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1"/>
      <c r="AG75" s="41"/>
      <c r="AH75" s="41"/>
      <c r="AI75" s="41"/>
      <c r="AJ75" s="41"/>
      <c r="AK75" s="41"/>
      <c r="AL75" s="41"/>
      <c r="AM75" s="41"/>
      <c r="AN75" s="41"/>
      <c r="AO75" s="42"/>
      <c r="AP75" s="42"/>
      <c r="AQ75" s="42"/>
      <c r="AR75" s="42"/>
      <c r="AS75" s="42"/>
      <c r="AT75" s="42"/>
      <c r="AU75" s="42"/>
      <c r="AV75" s="41"/>
      <c r="AW75" s="42"/>
      <c r="AX75" s="42"/>
      <c r="AY75" s="42"/>
      <c r="AZ75" s="35"/>
      <c r="BA75" s="35"/>
      <c r="BB75" s="35"/>
      <c r="BC75" s="35"/>
      <c r="BD75" s="35"/>
      <c r="BE75" s="35"/>
      <c r="BF75" s="35"/>
      <c r="BG75" s="35"/>
      <c r="BH75" s="35"/>
      <c r="BI75" s="35"/>
    </row>
    <row r="76" spans="1:6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</row>
    <row r="77" spans="1:61" x14ac:dyDescent="0.25">
      <c r="A77" s="37" t="s">
        <v>147</v>
      </c>
      <c r="B77" s="36" t="s">
        <v>142</v>
      </c>
      <c r="C77" s="36" t="s">
        <v>143</v>
      </c>
      <c r="D77" s="36" t="s">
        <v>144</v>
      </c>
      <c r="E77" s="36" t="s">
        <v>145</v>
      </c>
      <c r="F77" s="80" t="s">
        <v>146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5"/>
      <c r="BA77" s="35"/>
      <c r="BB77" s="35"/>
      <c r="BC77" s="35"/>
      <c r="BD77" s="35"/>
      <c r="BE77" s="35"/>
      <c r="BF77" s="35"/>
      <c r="BG77" s="35"/>
      <c r="BH77" s="35"/>
      <c r="BI77" s="35"/>
    </row>
    <row r="78" spans="1:61" x14ac:dyDescent="0.25">
      <c r="A78" s="81" t="s">
        <v>148</v>
      </c>
      <c r="B78" s="48">
        <v>13</v>
      </c>
      <c r="C78" s="48">
        <v>13</v>
      </c>
      <c r="D78" s="48">
        <v>13</v>
      </c>
      <c r="E78" s="5">
        <v>13</v>
      </c>
      <c r="F78" s="35">
        <v>13</v>
      </c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</row>
    <row r="79" spans="1:61" x14ac:dyDescent="0.25">
      <c r="A79" s="81" t="s">
        <v>149</v>
      </c>
      <c r="B79" s="48">
        <v>20</v>
      </c>
      <c r="C79" s="48">
        <v>20</v>
      </c>
      <c r="D79" s="48">
        <v>20</v>
      </c>
      <c r="E79" s="5">
        <v>20</v>
      </c>
      <c r="F79" s="35">
        <v>20</v>
      </c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50"/>
      <c r="AT79" s="50"/>
      <c r="AU79" s="50"/>
      <c r="AV79" s="50"/>
      <c r="AW79" s="50"/>
      <c r="AX79" s="50"/>
      <c r="AY79" s="50"/>
      <c r="AZ79" s="35"/>
      <c r="BA79" s="35"/>
      <c r="BB79" s="35"/>
      <c r="BC79" s="35"/>
      <c r="BD79" s="35"/>
      <c r="BE79" s="35"/>
      <c r="BF79" s="35"/>
      <c r="BG79" s="35"/>
      <c r="BH79" s="35"/>
      <c r="BI79" s="35"/>
    </row>
    <row r="80" spans="1:61" ht="32.1" customHeight="1" x14ac:dyDescent="0.25">
      <c r="A80" s="82" t="s">
        <v>150</v>
      </c>
      <c r="B80" s="6" t="s">
        <v>160</v>
      </c>
      <c r="C80" s="6" t="s">
        <v>160</v>
      </c>
      <c r="D80" s="6" t="s">
        <v>160</v>
      </c>
      <c r="E80" s="6" t="s">
        <v>160</v>
      </c>
      <c r="F80" s="50" t="s">
        <v>160</v>
      </c>
      <c r="G80" s="51"/>
      <c r="H80" s="51"/>
      <c r="I80" s="51"/>
      <c r="J80" s="51"/>
      <c r="K80" s="51"/>
      <c r="L80" s="51"/>
      <c r="M80" s="51"/>
      <c r="N80" s="51"/>
      <c r="O80" s="48"/>
      <c r="P80" s="51"/>
      <c r="Q80" s="51"/>
      <c r="R80" s="51"/>
      <c r="S80" s="51"/>
      <c r="T80" s="51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50"/>
      <c r="AP80" s="50"/>
      <c r="AQ80" s="50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</row>
    <row r="81" spans="1:61" x14ac:dyDescent="0.25">
      <c r="A81" s="81" t="s">
        <v>151</v>
      </c>
      <c r="B81" s="48">
        <v>26</v>
      </c>
      <c r="C81" s="48">
        <v>26</v>
      </c>
      <c r="D81" s="48">
        <v>26</v>
      </c>
      <c r="E81" s="5">
        <v>26</v>
      </c>
      <c r="F81" s="35">
        <v>26</v>
      </c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50"/>
      <c r="AS81" s="50"/>
      <c r="AT81" s="50"/>
      <c r="AU81" s="50"/>
      <c r="AV81" s="50"/>
      <c r="AW81" s="50"/>
      <c r="AX81" s="50"/>
      <c r="AY81" s="50"/>
      <c r="AZ81" s="35"/>
      <c r="BA81" s="35"/>
      <c r="BB81" s="35"/>
      <c r="BC81" s="35"/>
      <c r="BD81" s="35"/>
      <c r="BE81" s="35"/>
      <c r="BF81" s="35"/>
      <c r="BG81" s="35"/>
      <c r="BH81" s="35"/>
      <c r="BI81" s="35"/>
    </row>
    <row r="82" spans="1:61" x14ac:dyDescent="0.25">
      <c r="A82" s="48" t="s">
        <v>152</v>
      </c>
      <c r="B82" s="48" t="s">
        <v>160</v>
      </c>
      <c r="C82" s="48" t="s">
        <v>160</v>
      </c>
      <c r="D82" s="48" t="s">
        <v>160</v>
      </c>
      <c r="E82" s="5" t="s">
        <v>160</v>
      </c>
      <c r="F82" s="50" t="s">
        <v>160</v>
      </c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</row>
    <row r="83" spans="1:61" x14ac:dyDescent="0.25">
      <c r="A83" s="48" t="s">
        <v>153</v>
      </c>
      <c r="B83" s="6" t="s">
        <v>160</v>
      </c>
      <c r="C83" s="6" t="s">
        <v>160</v>
      </c>
      <c r="D83" s="6" t="s">
        <v>160</v>
      </c>
      <c r="E83" s="6" t="s">
        <v>160</v>
      </c>
      <c r="F83" s="50" t="s">
        <v>160</v>
      </c>
      <c r="G83" s="51"/>
      <c r="H83" s="51"/>
      <c r="I83" s="51"/>
      <c r="J83" s="51"/>
      <c r="K83" s="51"/>
      <c r="L83" s="51"/>
      <c r="M83" s="51"/>
      <c r="N83" s="51"/>
      <c r="O83" s="51"/>
      <c r="P83" s="48"/>
      <c r="Q83" s="48"/>
      <c r="R83" s="48"/>
      <c r="S83" s="48"/>
      <c r="T83" s="48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</row>
    <row r="84" spans="1:61" x14ac:dyDescent="0.25">
      <c r="A84" s="48" t="s">
        <v>154</v>
      </c>
      <c r="B84" s="6">
        <v>2</v>
      </c>
      <c r="C84" s="6">
        <v>2</v>
      </c>
      <c r="D84" s="6">
        <v>2</v>
      </c>
      <c r="E84" s="6">
        <v>2</v>
      </c>
      <c r="F84" s="35">
        <v>2</v>
      </c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</row>
    <row r="85" spans="1:61" x14ac:dyDescent="0.25">
      <c r="A85" s="48" t="s">
        <v>155</v>
      </c>
      <c r="B85" s="6" t="s">
        <v>160</v>
      </c>
      <c r="C85" s="6" t="s">
        <v>160</v>
      </c>
      <c r="D85" s="6" t="s">
        <v>160</v>
      </c>
      <c r="E85" s="6" t="s">
        <v>160</v>
      </c>
      <c r="F85" s="50" t="s">
        <v>160</v>
      </c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</row>
    <row r="86" spans="1:61" x14ac:dyDescent="0.25">
      <c r="A86" s="48" t="s">
        <v>156</v>
      </c>
      <c r="B86" s="6" t="s">
        <v>160</v>
      </c>
      <c r="C86" s="6" t="s">
        <v>160</v>
      </c>
      <c r="D86" s="6" t="s">
        <v>160</v>
      </c>
      <c r="E86" s="6" t="s">
        <v>160</v>
      </c>
      <c r="F86" s="50" t="s">
        <v>160</v>
      </c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</row>
    <row r="87" spans="1:61" x14ac:dyDescent="0.25">
      <c r="A87" s="8" t="s">
        <v>157</v>
      </c>
      <c r="B87" s="8">
        <v>33</v>
      </c>
      <c r="C87" s="48">
        <v>33</v>
      </c>
      <c r="D87" s="48">
        <v>33</v>
      </c>
      <c r="E87" s="9">
        <v>33</v>
      </c>
      <c r="F87" s="55">
        <v>33</v>
      </c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</row>
    <row r="88" spans="1:61" x14ac:dyDescent="0.25">
      <c r="A88" s="81" t="s">
        <v>158</v>
      </c>
      <c r="B88" s="48">
        <v>94</v>
      </c>
      <c r="C88" s="2">
        <v>94</v>
      </c>
      <c r="D88" s="2">
        <v>94</v>
      </c>
      <c r="E88" s="5">
        <v>94</v>
      </c>
      <c r="F88" s="35">
        <v>94</v>
      </c>
      <c r="G88" s="48"/>
      <c r="H88" s="51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</row>
    <row r="89" spans="1:61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</row>
    <row r="90" spans="1:61" ht="21.95" customHeight="1" x14ac:dyDescent="0.35">
      <c r="A90" s="72" t="s">
        <v>163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</row>
    <row r="91" spans="1:61" x14ac:dyDescent="0.25">
      <c r="A91" s="37" t="s">
        <v>141</v>
      </c>
      <c r="B91" s="36" t="s">
        <v>142</v>
      </c>
      <c r="C91" s="36" t="s">
        <v>143</v>
      </c>
      <c r="D91" s="36" t="s">
        <v>144</v>
      </c>
      <c r="E91" s="36" t="s">
        <v>145</v>
      </c>
      <c r="F91" s="80" t="s">
        <v>146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5"/>
      <c r="BA91" s="35"/>
      <c r="BB91" s="35"/>
      <c r="BC91" s="35"/>
      <c r="BD91" s="35"/>
      <c r="BE91" s="35"/>
      <c r="BF91" s="35"/>
      <c r="BG91" s="35"/>
      <c r="BH91" s="35"/>
      <c r="BI91" s="35"/>
    </row>
    <row r="92" spans="1:61" x14ac:dyDescent="0.25">
      <c r="A92" s="81" t="s">
        <v>36</v>
      </c>
      <c r="B92" s="40">
        <v>0.20150000000000001</v>
      </c>
      <c r="C92" s="40">
        <v>0.2132</v>
      </c>
      <c r="D92" s="40">
        <v>0.23880000000000001</v>
      </c>
      <c r="E92" s="7">
        <v>0.24809999999999999</v>
      </c>
      <c r="F92" s="42">
        <v>0.26889999999999997</v>
      </c>
      <c r="G92" s="40"/>
      <c r="H92" s="5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1"/>
      <c r="AG92" s="41"/>
      <c r="AH92" s="41"/>
      <c r="AI92" s="41"/>
      <c r="AJ92" s="41"/>
      <c r="AK92" s="41"/>
      <c r="AL92" s="41"/>
      <c r="AM92" s="41"/>
      <c r="AN92" s="41"/>
      <c r="AO92" s="42"/>
      <c r="AP92" s="42"/>
      <c r="AQ92" s="42"/>
      <c r="AR92" s="42"/>
      <c r="AS92" s="42"/>
      <c r="AT92" s="42"/>
      <c r="AU92" s="42"/>
      <c r="AV92" s="41"/>
      <c r="AW92" s="42"/>
      <c r="AX92" s="42"/>
      <c r="AY92" s="42"/>
      <c r="AZ92" s="35"/>
      <c r="BA92" s="35"/>
      <c r="BB92" s="35"/>
      <c r="BC92" s="35"/>
      <c r="BD92" s="35"/>
      <c r="BE92" s="35"/>
      <c r="BF92" s="35"/>
      <c r="BG92" s="35"/>
      <c r="BH92" s="35"/>
      <c r="BI92" s="35"/>
    </row>
    <row r="93" spans="1:61" x14ac:dyDescent="0.2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</row>
    <row r="94" spans="1:61" x14ac:dyDescent="0.25">
      <c r="A94" s="37" t="s">
        <v>147</v>
      </c>
      <c r="B94" s="36" t="s">
        <v>142</v>
      </c>
      <c r="C94" s="36" t="s">
        <v>143</v>
      </c>
      <c r="D94" s="36" t="s">
        <v>144</v>
      </c>
      <c r="E94" s="36" t="s">
        <v>145</v>
      </c>
      <c r="F94" s="80" t="s">
        <v>146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5"/>
      <c r="BA94" s="35"/>
      <c r="BB94" s="35"/>
      <c r="BC94" s="35"/>
      <c r="BD94" s="35"/>
      <c r="BE94" s="35"/>
      <c r="BF94" s="35"/>
      <c r="BG94" s="35"/>
      <c r="BH94" s="35"/>
      <c r="BI94" s="35"/>
    </row>
    <row r="95" spans="1:61" x14ac:dyDescent="0.25">
      <c r="A95" s="81" t="s">
        <v>148</v>
      </c>
      <c r="B95" s="48">
        <v>53</v>
      </c>
      <c r="C95" s="48">
        <v>58</v>
      </c>
      <c r="D95" s="48">
        <v>64</v>
      </c>
      <c r="E95" s="48">
        <v>66</v>
      </c>
      <c r="F95" s="35">
        <v>71</v>
      </c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44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</row>
    <row r="96" spans="1:61" x14ac:dyDescent="0.25">
      <c r="A96" s="81" t="s">
        <v>149</v>
      </c>
      <c r="B96" s="48">
        <v>210</v>
      </c>
      <c r="C96" s="48">
        <v>207</v>
      </c>
      <c r="D96" s="48">
        <v>200</v>
      </c>
      <c r="E96" s="48">
        <v>198</v>
      </c>
      <c r="F96" s="35">
        <v>192</v>
      </c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48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</row>
    <row r="97" spans="1:61" x14ac:dyDescent="0.25">
      <c r="A97" s="48" t="s">
        <v>150</v>
      </c>
      <c r="B97" s="6" t="s">
        <v>160</v>
      </c>
      <c r="C97" s="6" t="s">
        <v>160</v>
      </c>
      <c r="D97" s="6" t="s">
        <v>160</v>
      </c>
      <c r="E97" s="6" t="s">
        <v>160</v>
      </c>
      <c r="F97" s="50" t="s">
        <v>160</v>
      </c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50"/>
      <c r="AP97" s="50"/>
      <c r="AQ97" s="50"/>
      <c r="AR97" s="50"/>
      <c r="AS97" s="50"/>
      <c r="AT97" s="50"/>
      <c r="AU97" s="50"/>
      <c r="AV97" s="51"/>
      <c r="AW97" s="50"/>
      <c r="AX97" s="50"/>
      <c r="AY97" s="50"/>
      <c r="AZ97" s="35"/>
      <c r="BA97" s="35"/>
      <c r="BB97" s="35"/>
      <c r="BC97" s="35"/>
      <c r="BD97" s="35"/>
      <c r="BE97" s="35"/>
      <c r="BF97" s="35"/>
      <c r="BG97" s="35"/>
      <c r="BH97" s="35"/>
      <c r="BI97" s="35"/>
    </row>
    <row r="98" spans="1:61" x14ac:dyDescent="0.25">
      <c r="A98" s="81" t="s">
        <v>151</v>
      </c>
      <c r="B98" s="48" t="s">
        <v>160</v>
      </c>
      <c r="C98" s="48">
        <v>7</v>
      </c>
      <c r="D98" s="48">
        <v>4</v>
      </c>
      <c r="E98" s="48">
        <v>2</v>
      </c>
      <c r="F98" s="35">
        <v>1</v>
      </c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50"/>
      <c r="AP98" s="50"/>
      <c r="AQ98" s="50"/>
      <c r="AR98" s="50"/>
      <c r="AS98" s="50"/>
      <c r="AT98" s="50"/>
      <c r="AU98" s="50"/>
      <c r="AV98" s="51"/>
      <c r="AW98" s="50"/>
      <c r="AX98" s="50"/>
      <c r="AY98" s="50"/>
      <c r="AZ98" s="35"/>
      <c r="BA98" s="35"/>
      <c r="BB98" s="35"/>
      <c r="BC98" s="35"/>
      <c r="BD98" s="35"/>
      <c r="BE98" s="35"/>
      <c r="BF98" s="35"/>
      <c r="BG98" s="35"/>
      <c r="BH98" s="35"/>
      <c r="BI98" s="35"/>
    </row>
    <row r="99" spans="1:61" x14ac:dyDescent="0.25">
      <c r="A99" s="48" t="s">
        <v>152</v>
      </c>
      <c r="B99" s="48">
        <v>4</v>
      </c>
      <c r="C99" s="48">
        <v>4</v>
      </c>
      <c r="D99" s="48">
        <v>4</v>
      </c>
      <c r="E99" s="48">
        <v>4</v>
      </c>
      <c r="F99" s="35">
        <v>4</v>
      </c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48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</row>
    <row r="100" spans="1:61" x14ac:dyDescent="0.25">
      <c r="A100" s="48" t="s">
        <v>153</v>
      </c>
      <c r="B100" s="48" t="s">
        <v>160</v>
      </c>
      <c r="C100" s="48" t="s">
        <v>160</v>
      </c>
      <c r="D100" s="48" t="s">
        <v>160</v>
      </c>
      <c r="E100" s="48" t="s">
        <v>160</v>
      </c>
      <c r="F100" s="50" t="s">
        <v>160</v>
      </c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50"/>
      <c r="AP100" s="50"/>
      <c r="AQ100" s="50"/>
      <c r="AR100" s="50"/>
      <c r="AS100" s="50"/>
      <c r="AT100" s="50"/>
      <c r="AU100" s="50"/>
      <c r="AV100" s="51"/>
      <c r="AW100" s="50"/>
      <c r="AX100" s="50"/>
      <c r="AY100" s="50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</row>
    <row r="101" spans="1:61" x14ac:dyDescent="0.25">
      <c r="A101" s="48" t="s">
        <v>154</v>
      </c>
      <c r="B101" s="48">
        <v>8</v>
      </c>
      <c r="C101" s="48">
        <v>7</v>
      </c>
      <c r="D101" s="48">
        <v>7</v>
      </c>
      <c r="E101" s="48">
        <v>7</v>
      </c>
      <c r="F101" s="35">
        <v>6</v>
      </c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48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</row>
    <row r="102" spans="1:61" x14ac:dyDescent="0.25">
      <c r="A102" s="48" t="s">
        <v>155</v>
      </c>
      <c r="B102" s="48" t="s">
        <v>160</v>
      </c>
      <c r="C102" s="48" t="s">
        <v>160</v>
      </c>
      <c r="D102" s="48" t="s">
        <v>160</v>
      </c>
      <c r="E102" s="48" t="s">
        <v>160</v>
      </c>
      <c r="F102" s="50" t="s">
        <v>160</v>
      </c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48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</row>
    <row r="103" spans="1:61" x14ac:dyDescent="0.25">
      <c r="A103" s="48" t="s">
        <v>156</v>
      </c>
      <c r="B103" s="6">
        <v>3</v>
      </c>
      <c r="C103" s="6">
        <v>3</v>
      </c>
      <c r="D103" s="6">
        <v>3</v>
      </c>
      <c r="E103" s="6">
        <v>3</v>
      </c>
      <c r="F103" s="35">
        <v>3</v>
      </c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50"/>
      <c r="AP103" s="50"/>
      <c r="AQ103" s="50"/>
      <c r="AR103" s="50"/>
      <c r="AS103" s="50"/>
      <c r="AT103" s="50"/>
      <c r="AU103" s="50"/>
      <c r="AV103" s="51"/>
      <c r="AW103" s="50"/>
      <c r="AX103" s="50"/>
      <c r="AY103" s="50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</row>
    <row r="104" spans="1:61" x14ac:dyDescent="0.25">
      <c r="A104" s="48" t="s">
        <v>157</v>
      </c>
      <c r="B104" s="6">
        <v>9</v>
      </c>
      <c r="C104" s="6">
        <v>8</v>
      </c>
      <c r="D104" s="6">
        <v>8</v>
      </c>
      <c r="E104" s="6">
        <v>9</v>
      </c>
      <c r="F104" s="55">
        <v>9</v>
      </c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48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</row>
    <row r="105" spans="1:61" x14ac:dyDescent="0.25">
      <c r="A105" s="1" t="s">
        <v>158</v>
      </c>
      <c r="B105" s="2">
        <v>287</v>
      </c>
      <c r="C105" s="2">
        <v>294</v>
      </c>
      <c r="D105" s="2">
        <v>290</v>
      </c>
      <c r="E105" s="2">
        <v>289</v>
      </c>
      <c r="F105" s="35">
        <v>286</v>
      </c>
      <c r="G105" s="48"/>
      <c r="H105" s="51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48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</row>
    <row r="106" spans="1:61" x14ac:dyDescent="0.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</row>
    <row r="107" spans="1:61" ht="21.95" customHeight="1" x14ac:dyDescent="0.35">
      <c r="A107" s="72" t="s">
        <v>164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</row>
    <row r="108" spans="1:61" x14ac:dyDescent="0.25">
      <c r="A108" s="37" t="s">
        <v>141</v>
      </c>
      <c r="B108" s="36" t="s">
        <v>142</v>
      </c>
      <c r="C108" s="36" t="s">
        <v>143</v>
      </c>
      <c r="D108" s="36" t="s">
        <v>144</v>
      </c>
      <c r="E108" s="36" t="s">
        <v>145</v>
      </c>
      <c r="F108" s="80" t="s">
        <v>146</v>
      </c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</row>
    <row r="109" spans="1:61" x14ac:dyDescent="0.25">
      <c r="A109" s="81" t="s">
        <v>36</v>
      </c>
      <c r="B109" s="40">
        <v>0.16669999999999999</v>
      </c>
      <c r="C109" s="40">
        <v>0.16769999999999999</v>
      </c>
      <c r="D109" s="40">
        <v>0.1739</v>
      </c>
      <c r="E109" s="7">
        <v>0.18010000000000001</v>
      </c>
      <c r="F109" s="42">
        <v>0.18629999999999999</v>
      </c>
      <c r="G109" s="40"/>
      <c r="H109" s="53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1"/>
      <c r="AG109" s="41"/>
      <c r="AH109" s="41"/>
      <c r="AI109" s="41"/>
      <c r="AJ109" s="41"/>
      <c r="AK109" s="41"/>
      <c r="AL109" s="41"/>
      <c r="AM109" s="41"/>
      <c r="AN109" s="41"/>
      <c r="AO109" s="42"/>
      <c r="AP109" s="41"/>
      <c r="AQ109" s="42"/>
      <c r="AR109" s="42"/>
      <c r="AS109" s="42"/>
      <c r="AT109" s="41"/>
      <c r="AU109" s="42"/>
      <c r="AV109" s="42"/>
      <c r="AW109" s="42"/>
      <c r="AX109" s="42"/>
      <c r="AY109" s="42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</row>
    <row r="110" spans="1:61" x14ac:dyDescent="0.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</row>
    <row r="111" spans="1:61" x14ac:dyDescent="0.25">
      <c r="A111" s="37" t="s">
        <v>147</v>
      </c>
      <c r="B111" s="36" t="s">
        <v>142</v>
      </c>
      <c r="C111" s="36" t="s">
        <v>143</v>
      </c>
      <c r="D111" s="36" t="s">
        <v>144</v>
      </c>
      <c r="E111" s="36" t="s">
        <v>145</v>
      </c>
      <c r="F111" s="80" t="s">
        <v>146</v>
      </c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</row>
    <row r="112" spans="1:61" x14ac:dyDescent="0.25">
      <c r="A112" s="81" t="s">
        <v>148</v>
      </c>
      <c r="B112" s="48">
        <v>27</v>
      </c>
      <c r="C112" s="48">
        <v>27</v>
      </c>
      <c r="D112" s="48">
        <v>28</v>
      </c>
      <c r="E112" s="48">
        <v>29</v>
      </c>
      <c r="F112" s="56">
        <v>30</v>
      </c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</row>
    <row r="113" spans="1:61" x14ac:dyDescent="0.25">
      <c r="A113" s="81" t="s">
        <v>149</v>
      </c>
      <c r="B113" s="48">
        <v>99</v>
      </c>
      <c r="C113" s="48">
        <v>100</v>
      </c>
      <c r="D113" s="48">
        <v>99</v>
      </c>
      <c r="E113" s="48">
        <v>98</v>
      </c>
      <c r="F113" s="57">
        <v>97</v>
      </c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</row>
    <row r="114" spans="1:61" x14ac:dyDescent="0.25">
      <c r="A114" s="48" t="s">
        <v>150</v>
      </c>
      <c r="B114" s="6">
        <v>2</v>
      </c>
      <c r="C114" s="6">
        <v>2</v>
      </c>
      <c r="D114" s="6">
        <v>2</v>
      </c>
      <c r="E114" s="6">
        <v>2</v>
      </c>
      <c r="F114" s="56">
        <v>2</v>
      </c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</row>
    <row r="115" spans="1:61" x14ac:dyDescent="0.25">
      <c r="A115" s="81" t="s">
        <v>151</v>
      </c>
      <c r="B115" s="48">
        <v>36</v>
      </c>
      <c r="C115" s="48">
        <v>34</v>
      </c>
      <c r="D115" s="48">
        <v>34</v>
      </c>
      <c r="E115" s="48">
        <v>34</v>
      </c>
      <c r="F115" s="57">
        <v>34</v>
      </c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</row>
    <row r="116" spans="1:61" x14ac:dyDescent="0.25">
      <c r="A116" s="48" t="s">
        <v>152</v>
      </c>
      <c r="B116" s="48">
        <v>3</v>
      </c>
      <c r="C116" s="48">
        <v>3</v>
      </c>
      <c r="D116" s="48">
        <v>3</v>
      </c>
      <c r="E116" s="48">
        <v>3</v>
      </c>
      <c r="F116" s="56">
        <v>3</v>
      </c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</row>
    <row r="117" spans="1:61" x14ac:dyDescent="0.25">
      <c r="A117" s="48" t="s">
        <v>153</v>
      </c>
      <c r="B117" s="48" t="s">
        <v>160</v>
      </c>
      <c r="C117" s="48" t="s">
        <v>160</v>
      </c>
      <c r="D117" s="48" t="s">
        <v>160</v>
      </c>
      <c r="E117" s="48" t="s">
        <v>160</v>
      </c>
      <c r="F117" s="58" t="s">
        <v>160</v>
      </c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</row>
    <row r="118" spans="1:61" x14ac:dyDescent="0.25">
      <c r="A118" s="48" t="s">
        <v>154</v>
      </c>
      <c r="B118" s="48">
        <v>1</v>
      </c>
      <c r="C118" s="48">
        <v>1</v>
      </c>
      <c r="D118" s="48">
        <v>1</v>
      </c>
      <c r="E118" s="48">
        <v>1</v>
      </c>
      <c r="F118" s="56">
        <v>1</v>
      </c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</row>
    <row r="119" spans="1:61" x14ac:dyDescent="0.25">
      <c r="A119" s="48" t="s">
        <v>156</v>
      </c>
      <c r="B119" s="48">
        <v>1</v>
      </c>
      <c r="C119" s="48">
        <v>1</v>
      </c>
      <c r="D119" s="48">
        <v>1</v>
      </c>
      <c r="E119" s="48">
        <v>1</v>
      </c>
      <c r="F119" s="57">
        <v>1</v>
      </c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</row>
    <row r="120" spans="1:61" x14ac:dyDescent="0.25">
      <c r="A120" s="48" t="s">
        <v>157</v>
      </c>
      <c r="B120" s="6">
        <v>1</v>
      </c>
      <c r="C120" s="6">
        <v>3</v>
      </c>
      <c r="D120" s="6">
        <v>3</v>
      </c>
      <c r="E120" s="6">
        <v>3</v>
      </c>
      <c r="F120" s="56">
        <v>3</v>
      </c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</row>
    <row r="121" spans="1:61" x14ac:dyDescent="0.25">
      <c r="A121" s="48" t="s">
        <v>155</v>
      </c>
      <c r="B121" s="6">
        <v>1</v>
      </c>
      <c r="C121" s="6">
        <v>1</v>
      </c>
      <c r="D121" s="6">
        <v>1</v>
      </c>
      <c r="E121" s="6">
        <v>1</v>
      </c>
      <c r="F121" s="59">
        <v>1</v>
      </c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</row>
    <row r="122" spans="1:61" x14ac:dyDescent="0.25">
      <c r="A122" s="1" t="s">
        <v>158</v>
      </c>
      <c r="B122" s="2">
        <v>171</v>
      </c>
      <c r="C122" s="2">
        <v>172</v>
      </c>
      <c r="D122" s="2">
        <v>172</v>
      </c>
      <c r="E122" s="2">
        <v>172</v>
      </c>
      <c r="F122" s="56">
        <v>172</v>
      </c>
      <c r="G122" s="48"/>
      <c r="H122" s="51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</row>
    <row r="123" spans="1:61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</row>
    <row r="124" spans="1:61" ht="21.95" customHeight="1" x14ac:dyDescent="0.35">
      <c r="A124" s="72" t="s">
        <v>165</v>
      </c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</row>
    <row r="125" spans="1:61" x14ac:dyDescent="0.25">
      <c r="A125" s="37" t="s">
        <v>141</v>
      </c>
      <c r="B125" s="36" t="s">
        <v>142</v>
      </c>
      <c r="C125" s="36" t="s">
        <v>143</v>
      </c>
      <c r="D125" s="36" t="s">
        <v>144</v>
      </c>
      <c r="E125" s="36" t="s">
        <v>145</v>
      </c>
      <c r="F125" s="80" t="s">
        <v>146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</row>
    <row r="126" spans="1:61" x14ac:dyDescent="0.25">
      <c r="A126" s="81" t="s">
        <v>36</v>
      </c>
      <c r="B126" s="40">
        <v>8.539999999999999E-2</v>
      </c>
      <c r="C126" s="40">
        <v>8.539999999999999E-2</v>
      </c>
      <c r="D126" s="40">
        <v>9.64E-2</v>
      </c>
      <c r="E126" s="7">
        <v>0.1084</v>
      </c>
      <c r="F126" s="42">
        <v>0.1205</v>
      </c>
      <c r="G126" s="40"/>
      <c r="H126" s="53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1"/>
      <c r="AG126" s="41"/>
      <c r="AH126" s="41"/>
      <c r="AI126" s="41"/>
      <c r="AJ126" s="41"/>
      <c r="AK126" s="41"/>
      <c r="AL126" s="41"/>
      <c r="AM126" s="41"/>
      <c r="AN126" s="41"/>
      <c r="AO126" s="42"/>
      <c r="AP126" s="42"/>
      <c r="AQ126" s="42"/>
      <c r="AR126" s="42"/>
      <c r="AS126" s="41"/>
      <c r="AT126" s="42"/>
      <c r="AU126" s="42"/>
      <c r="AV126" s="42"/>
      <c r="AW126" s="42"/>
      <c r="AX126" s="42"/>
      <c r="AY126" s="42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</row>
    <row r="127" spans="1:61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</row>
    <row r="128" spans="1:61" x14ac:dyDescent="0.25">
      <c r="A128" s="37" t="s">
        <v>147</v>
      </c>
      <c r="B128" s="36" t="s">
        <v>142</v>
      </c>
      <c r="C128" s="36" t="s">
        <v>143</v>
      </c>
      <c r="D128" s="36" t="s">
        <v>144</v>
      </c>
      <c r="E128" s="36" t="s">
        <v>145</v>
      </c>
      <c r="F128" s="80" t="s">
        <v>146</v>
      </c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</row>
    <row r="129" spans="1:61" x14ac:dyDescent="0.25">
      <c r="A129" s="81" t="s">
        <v>148</v>
      </c>
      <c r="B129" s="48">
        <v>7</v>
      </c>
      <c r="C129" s="48">
        <v>7</v>
      </c>
      <c r="D129" s="48">
        <v>8</v>
      </c>
      <c r="E129" s="48">
        <v>9</v>
      </c>
      <c r="F129" s="35">
        <v>10</v>
      </c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</row>
    <row r="130" spans="1:61" x14ac:dyDescent="0.25">
      <c r="A130" s="81" t="s">
        <v>149</v>
      </c>
      <c r="B130" s="48">
        <v>35</v>
      </c>
      <c r="C130" s="48">
        <v>35</v>
      </c>
      <c r="D130" s="48">
        <v>35</v>
      </c>
      <c r="E130" s="48">
        <v>35</v>
      </c>
      <c r="F130" s="35">
        <v>35</v>
      </c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</row>
    <row r="131" spans="1:61" x14ac:dyDescent="0.25">
      <c r="A131" s="48" t="s">
        <v>150</v>
      </c>
      <c r="B131" s="6" t="s">
        <v>160</v>
      </c>
      <c r="C131" s="6" t="s">
        <v>160</v>
      </c>
      <c r="D131" s="6" t="s">
        <v>160</v>
      </c>
      <c r="E131" s="6" t="s">
        <v>160</v>
      </c>
      <c r="F131" s="50" t="s">
        <v>160</v>
      </c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50"/>
      <c r="AP131" s="50"/>
      <c r="AQ131" s="50"/>
      <c r="AR131" s="35"/>
      <c r="AS131" s="35"/>
      <c r="AT131" s="35"/>
      <c r="AU131" s="35"/>
      <c r="AV131" s="35"/>
      <c r="AW131" s="35"/>
      <c r="AX131" s="50"/>
      <c r="AY131" s="50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</row>
    <row r="132" spans="1:61" x14ac:dyDescent="0.25">
      <c r="A132" s="81" t="s">
        <v>151</v>
      </c>
      <c r="B132" s="48">
        <v>40</v>
      </c>
      <c r="C132" s="48">
        <v>40</v>
      </c>
      <c r="D132" s="48">
        <v>40</v>
      </c>
      <c r="E132" s="48">
        <v>39</v>
      </c>
      <c r="F132" s="35">
        <v>38</v>
      </c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50"/>
      <c r="AS132" s="50"/>
      <c r="AT132" s="50"/>
      <c r="AU132" s="50"/>
      <c r="AV132" s="50"/>
      <c r="AW132" s="50"/>
      <c r="AX132" s="50"/>
      <c r="AY132" s="50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</row>
    <row r="133" spans="1:61" x14ac:dyDescent="0.25">
      <c r="A133" s="48" t="s">
        <v>152</v>
      </c>
      <c r="B133" s="48" t="s">
        <v>160</v>
      </c>
      <c r="C133" s="48" t="s">
        <v>160</v>
      </c>
      <c r="D133" s="48" t="s">
        <v>160</v>
      </c>
      <c r="E133" s="48" t="s">
        <v>160</v>
      </c>
      <c r="F133" s="50" t="s">
        <v>160</v>
      </c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</row>
    <row r="134" spans="1:61" x14ac:dyDescent="0.25">
      <c r="A134" s="48" t="s">
        <v>153</v>
      </c>
      <c r="B134" s="48">
        <v>1</v>
      </c>
      <c r="C134" s="48">
        <v>1</v>
      </c>
      <c r="D134" s="48">
        <v>1</v>
      </c>
      <c r="E134" s="48">
        <v>1</v>
      </c>
      <c r="F134" s="35">
        <v>1</v>
      </c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</row>
    <row r="135" spans="1:61" x14ac:dyDescent="0.25">
      <c r="A135" s="48" t="s">
        <v>154</v>
      </c>
      <c r="B135" s="48" t="s">
        <v>160</v>
      </c>
      <c r="C135" s="48" t="s">
        <v>160</v>
      </c>
      <c r="D135" s="48" t="s">
        <v>160</v>
      </c>
      <c r="E135" s="48" t="s">
        <v>160</v>
      </c>
      <c r="F135" s="50" t="s">
        <v>160</v>
      </c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</row>
    <row r="136" spans="1:61" x14ac:dyDescent="0.25">
      <c r="A136" s="48" t="s">
        <v>156</v>
      </c>
      <c r="B136" s="48" t="s">
        <v>160</v>
      </c>
      <c r="C136" s="48" t="s">
        <v>160</v>
      </c>
      <c r="D136" s="48" t="s">
        <v>160</v>
      </c>
      <c r="E136" s="48" t="s">
        <v>160</v>
      </c>
      <c r="F136" s="50" t="s">
        <v>160</v>
      </c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</row>
    <row r="137" spans="1:61" x14ac:dyDescent="0.25">
      <c r="A137" s="48" t="s">
        <v>157</v>
      </c>
      <c r="B137" s="6" t="s">
        <v>160</v>
      </c>
      <c r="C137" s="6" t="s">
        <v>160</v>
      </c>
      <c r="D137" s="6" t="s">
        <v>160</v>
      </c>
      <c r="E137" s="6" t="s">
        <v>160</v>
      </c>
      <c r="F137" s="50" t="s">
        <v>160</v>
      </c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</row>
    <row r="138" spans="1:61" x14ac:dyDescent="0.25">
      <c r="A138" s="48" t="s">
        <v>155</v>
      </c>
      <c r="B138" s="6" t="s">
        <v>160</v>
      </c>
      <c r="C138" s="6" t="s">
        <v>160</v>
      </c>
      <c r="D138" s="6" t="s">
        <v>160</v>
      </c>
      <c r="E138" s="6" t="s">
        <v>160</v>
      </c>
      <c r="F138" s="60" t="s">
        <v>160</v>
      </c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</row>
    <row r="139" spans="1:61" x14ac:dyDescent="0.25">
      <c r="A139" s="1" t="s">
        <v>158</v>
      </c>
      <c r="B139" s="2">
        <v>83</v>
      </c>
      <c r="C139" s="2">
        <v>83</v>
      </c>
      <c r="D139" s="2">
        <v>84</v>
      </c>
      <c r="E139" s="2">
        <v>84</v>
      </c>
      <c r="F139" s="35">
        <v>84</v>
      </c>
      <c r="G139" s="48"/>
      <c r="H139" s="51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</row>
    <row r="140" spans="1:61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</row>
    <row r="141" spans="1:61" ht="21.95" customHeight="1" x14ac:dyDescent="0.35">
      <c r="A141" s="72" t="s">
        <v>166</v>
      </c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</row>
    <row r="142" spans="1:61" x14ac:dyDescent="0.25">
      <c r="A142" s="37" t="s">
        <v>141</v>
      </c>
      <c r="B142" s="36" t="s">
        <v>142</v>
      </c>
      <c r="C142" s="36" t="s">
        <v>143</v>
      </c>
      <c r="D142" s="36" t="s">
        <v>144</v>
      </c>
      <c r="E142" s="36" t="s">
        <v>145</v>
      </c>
      <c r="F142" s="80" t="s">
        <v>146</v>
      </c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</row>
    <row r="143" spans="1:61" x14ac:dyDescent="0.25">
      <c r="A143" s="81" t="s">
        <v>36</v>
      </c>
      <c r="B143" s="40">
        <v>0.15820000000000001</v>
      </c>
      <c r="C143" s="40">
        <v>0.1772</v>
      </c>
      <c r="D143" s="40">
        <v>0.1835</v>
      </c>
      <c r="E143" s="7">
        <v>0.1835</v>
      </c>
      <c r="F143" s="42">
        <v>0.1835</v>
      </c>
      <c r="G143" s="40"/>
      <c r="H143" s="53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1"/>
      <c r="AG143" s="41"/>
      <c r="AH143" s="41"/>
      <c r="AI143" s="41"/>
      <c r="AJ143" s="41"/>
      <c r="AK143" s="41"/>
      <c r="AL143" s="41"/>
      <c r="AM143" s="41"/>
      <c r="AN143" s="41"/>
      <c r="AO143" s="42"/>
      <c r="AP143" s="42"/>
      <c r="AQ143" s="42"/>
      <c r="AR143" s="42"/>
      <c r="AS143" s="41"/>
      <c r="AT143" s="42"/>
      <c r="AU143" s="42"/>
      <c r="AV143" s="42"/>
      <c r="AW143" s="42"/>
      <c r="AX143" s="42"/>
      <c r="AY143" s="42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</row>
    <row r="144" spans="1:61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</row>
    <row r="145" spans="1:61" x14ac:dyDescent="0.25">
      <c r="A145" s="37" t="s">
        <v>147</v>
      </c>
      <c r="B145" s="36" t="s">
        <v>142</v>
      </c>
      <c r="C145" s="36" t="s">
        <v>143</v>
      </c>
      <c r="D145" s="36" t="s">
        <v>144</v>
      </c>
      <c r="E145" s="36" t="s">
        <v>145</v>
      </c>
      <c r="F145" s="80" t="s">
        <v>146</v>
      </c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</row>
    <row r="146" spans="1:61" x14ac:dyDescent="0.25">
      <c r="A146" s="81" t="s">
        <v>148</v>
      </c>
      <c r="B146" s="48">
        <v>25</v>
      </c>
      <c r="C146" s="48">
        <v>28</v>
      </c>
      <c r="D146" s="48">
        <v>29</v>
      </c>
      <c r="E146" s="48">
        <v>29</v>
      </c>
      <c r="F146" s="35">
        <v>29</v>
      </c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48"/>
      <c r="AT146" s="35"/>
      <c r="AU146" s="35"/>
      <c r="AV146" s="35"/>
      <c r="AW146" s="35"/>
      <c r="AX146" s="35"/>
      <c r="AY146" s="48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</row>
    <row r="147" spans="1:61" x14ac:dyDescent="0.25">
      <c r="A147" s="81" t="s">
        <v>149</v>
      </c>
      <c r="B147" s="48">
        <v>132</v>
      </c>
      <c r="C147" s="48">
        <v>129</v>
      </c>
      <c r="D147" s="48">
        <v>128</v>
      </c>
      <c r="E147" s="48">
        <v>128</v>
      </c>
      <c r="F147" s="35">
        <v>128</v>
      </c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48"/>
      <c r="AT147" s="35"/>
      <c r="AU147" s="35"/>
      <c r="AV147" s="35"/>
      <c r="AW147" s="35"/>
      <c r="AX147" s="35"/>
      <c r="AY147" s="48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</row>
    <row r="148" spans="1:61" x14ac:dyDescent="0.25">
      <c r="A148" s="48" t="s">
        <v>150</v>
      </c>
      <c r="B148" s="6">
        <v>1</v>
      </c>
      <c r="C148" s="6">
        <v>1</v>
      </c>
      <c r="D148" s="6">
        <v>1</v>
      </c>
      <c r="E148" s="6">
        <v>1</v>
      </c>
      <c r="F148" s="35">
        <v>1</v>
      </c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50"/>
      <c r="AP148" s="50"/>
      <c r="AQ148" s="50"/>
      <c r="AR148" s="35"/>
      <c r="AS148" s="48"/>
      <c r="AT148" s="35"/>
      <c r="AU148" s="35"/>
      <c r="AV148" s="35"/>
      <c r="AW148" s="35"/>
      <c r="AX148" s="35"/>
      <c r="AY148" s="48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</row>
    <row r="149" spans="1:61" x14ac:dyDescent="0.25">
      <c r="A149" s="81" t="s">
        <v>151</v>
      </c>
      <c r="B149" s="48">
        <v>1</v>
      </c>
      <c r="C149" s="48">
        <v>1</v>
      </c>
      <c r="D149" s="48">
        <v>1</v>
      </c>
      <c r="E149" s="48">
        <v>1</v>
      </c>
      <c r="F149" s="35">
        <v>1</v>
      </c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50"/>
      <c r="AP149" s="50"/>
      <c r="AQ149" s="50"/>
      <c r="AR149" s="50"/>
      <c r="AS149" s="51"/>
      <c r="AT149" s="50"/>
      <c r="AU149" s="50"/>
      <c r="AV149" s="50"/>
      <c r="AW149" s="50"/>
      <c r="AX149" s="50"/>
      <c r="AY149" s="51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</row>
    <row r="150" spans="1:61" x14ac:dyDescent="0.25">
      <c r="A150" s="48" t="s">
        <v>152</v>
      </c>
      <c r="B150" s="48">
        <v>4</v>
      </c>
      <c r="C150" s="48">
        <v>4</v>
      </c>
      <c r="D150" s="48">
        <v>4</v>
      </c>
      <c r="E150" s="48">
        <v>4</v>
      </c>
      <c r="F150" s="35">
        <v>4</v>
      </c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48"/>
      <c r="AT150" s="35"/>
      <c r="AU150" s="35"/>
      <c r="AV150" s="35"/>
      <c r="AW150" s="35"/>
      <c r="AX150" s="35"/>
      <c r="AY150" s="48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</row>
    <row r="151" spans="1:61" x14ac:dyDescent="0.25">
      <c r="A151" s="48" t="s">
        <v>153</v>
      </c>
      <c r="B151" s="48">
        <v>2</v>
      </c>
      <c r="C151" s="48">
        <v>2</v>
      </c>
      <c r="D151" s="48">
        <v>2</v>
      </c>
      <c r="E151" s="48">
        <v>2</v>
      </c>
      <c r="F151" s="35">
        <v>2</v>
      </c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48"/>
      <c r="AT151" s="35"/>
      <c r="AU151" s="35"/>
      <c r="AV151" s="35"/>
      <c r="AW151" s="35"/>
      <c r="AX151" s="35"/>
      <c r="AY151" s="48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</row>
    <row r="152" spans="1:61" x14ac:dyDescent="0.25">
      <c r="A152" s="48" t="s">
        <v>154</v>
      </c>
      <c r="B152" s="48">
        <v>7</v>
      </c>
      <c r="C152" s="48">
        <v>7</v>
      </c>
      <c r="D152" s="48">
        <v>7</v>
      </c>
      <c r="E152" s="48">
        <v>7</v>
      </c>
      <c r="F152" s="35">
        <v>7</v>
      </c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48"/>
      <c r="AT152" s="35"/>
      <c r="AU152" s="35"/>
      <c r="AV152" s="35"/>
      <c r="AW152" s="35"/>
      <c r="AX152" s="35"/>
      <c r="AY152" s="48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</row>
    <row r="153" spans="1:61" x14ac:dyDescent="0.25">
      <c r="A153" s="48" t="s">
        <v>155</v>
      </c>
      <c r="B153" s="48">
        <v>6</v>
      </c>
      <c r="C153" s="48">
        <v>6</v>
      </c>
      <c r="D153" s="48">
        <v>6</v>
      </c>
      <c r="E153" s="48">
        <v>6</v>
      </c>
      <c r="F153" s="35">
        <v>6</v>
      </c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48"/>
      <c r="AT153" s="35"/>
      <c r="AU153" s="35"/>
      <c r="AV153" s="35"/>
      <c r="AW153" s="35"/>
      <c r="AX153" s="35"/>
      <c r="AY153" s="48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</row>
    <row r="154" spans="1:61" x14ac:dyDescent="0.25">
      <c r="A154" s="48" t="s">
        <v>156</v>
      </c>
      <c r="B154" s="6">
        <v>2</v>
      </c>
      <c r="C154" s="6">
        <v>2</v>
      </c>
      <c r="D154" s="6">
        <v>2</v>
      </c>
      <c r="E154" s="6">
        <v>2</v>
      </c>
      <c r="F154" s="35">
        <v>2</v>
      </c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48"/>
      <c r="AT154" s="35"/>
      <c r="AU154" s="35"/>
      <c r="AV154" s="35"/>
      <c r="AW154" s="35"/>
      <c r="AX154" s="35"/>
      <c r="AY154" s="48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</row>
    <row r="155" spans="1:61" x14ac:dyDescent="0.25">
      <c r="A155" s="48" t="s">
        <v>157</v>
      </c>
      <c r="B155" s="6">
        <v>11</v>
      </c>
      <c r="C155" s="6">
        <v>11</v>
      </c>
      <c r="D155" s="6">
        <v>11</v>
      </c>
      <c r="E155" s="6">
        <v>11</v>
      </c>
      <c r="F155" s="55">
        <v>11</v>
      </c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48"/>
      <c r="AT155" s="35"/>
      <c r="AU155" s="35"/>
      <c r="AV155" s="35"/>
      <c r="AW155" s="35"/>
      <c r="AX155" s="35"/>
      <c r="AY155" s="48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</row>
    <row r="156" spans="1:61" x14ac:dyDescent="0.25">
      <c r="A156" s="1" t="s">
        <v>158</v>
      </c>
      <c r="B156" s="2">
        <v>191</v>
      </c>
      <c r="C156" s="2">
        <v>191</v>
      </c>
      <c r="D156" s="2">
        <v>191</v>
      </c>
      <c r="E156" s="2">
        <v>191</v>
      </c>
      <c r="F156" s="35">
        <v>191</v>
      </c>
      <c r="G156" s="48"/>
      <c r="H156" s="51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48"/>
      <c r="AT156" s="35"/>
      <c r="AU156" s="35"/>
      <c r="AV156" s="35"/>
      <c r="AW156" s="35"/>
      <c r="AX156" s="35"/>
      <c r="AY156" s="48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</row>
    <row r="157" spans="1:61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</row>
    <row r="158" spans="1:61" ht="21.95" customHeight="1" x14ac:dyDescent="0.35">
      <c r="A158" s="72" t="s">
        <v>167</v>
      </c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</row>
    <row r="159" spans="1:61" x14ac:dyDescent="0.25">
      <c r="A159" s="37" t="s">
        <v>141</v>
      </c>
      <c r="B159" s="36" t="s">
        <v>142</v>
      </c>
      <c r="C159" s="36" t="s">
        <v>143</v>
      </c>
      <c r="D159" s="36" t="s">
        <v>144</v>
      </c>
      <c r="E159" s="36" t="s">
        <v>145</v>
      </c>
      <c r="F159" s="80" t="s">
        <v>146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</row>
    <row r="160" spans="1:61" x14ac:dyDescent="0.25">
      <c r="A160" s="81" t="s">
        <v>36</v>
      </c>
      <c r="B160" s="40">
        <v>0.1895</v>
      </c>
      <c r="C160" s="40">
        <v>0.1895</v>
      </c>
      <c r="D160" s="40">
        <v>0.19570000000000001</v>
      </c>
      <c r="E160" s="7">
        <v>0.19350000000000001</v>
      </c>
      <c r="F160" s="40">
        <v>0.20430000000000001</v>
      </c>
      <c r="G160" s="40"/>
      <c r="H160" s="53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2"/>
      <c r="Z160" s="42"/>
      <c r="AA160" s="42"/>
      <c r="AB160" s="42"/>
      <c r="AC160" s="42"/>
      <c r="AD160" s="42"/>
      <c r="AE160" s="42"/>
      <c r="AF160" s="41"/>
      <c r="AG160" s="41"/>
      <c r="AH160" s="41"/>
      <c r="AI160" s="41"/>
      <c r="AJ160" s="41"/>
      <c r="AK160" s="41"/>
      <c r="AL160" s="41"/>
      <c r="AM160" s="41"/>
      <c r="AN160" s="41"/>
      <c r="AO160" s="42"/>
      <c r="AP160" s="41"/>
      <c r="AQ160" s="42"/>
      <c r="AR160" s="42"/>
      <c r="AS160" s="42"/>
      <c r="AT160" s="42"/>
      <c r="AU160" s="42"/>
      <c r="AV160" s="42"/>
      <c r="AW160" s="42"/>
      <c r="AX160" s="42"/>
      <c r="AY160" s="42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</row>
    <row r="161" spans="1:61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</row>
    <row r="162" spans="1:61" x14ac:dyDescent="0.25">
      <c r="A162" s="37" t="s">
        <v>147</v>
      </c>
      <c r="B162" s="36" t="s">
        <v>142</v>
      </c>
      <c r="C162" s="36" t="s">
        <v>143</v>
      </c>
      <c r="D162" s="36" t="s">
        <v>144</v>
      </c>
      <c r="E162" s="36" t="s">
        <v>145</v>
      </c>
      <c r="F162" s="80" t="s">
        <v>146</v>
      </c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</row>
    <row r="163" spans="1:61" x14ac:dyDescent="0.25">
      <c r="A163" s="81" t="s">
        <v>148</v>
      </c>
      <c r="B163" s="48">
        <v>18</v>
      </c>
      <c r="C163" s="48">
        <v>18</v>
      </c>
      <c r="D163" s="48">
        <v>18</v>
      </c>
      <c r="E163" s="48">
        <v>18</v>
      </c>
      <c r="F163" s="35">
        <v>19</v>
      </c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48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</row>
    <row r="164" spans="1:61" x14ac:dyDescent="0.25">
      <c r="A164" s="81" t="s">
        <v>149</v>
      </c>
      <c r="B164" s="48">
        <v>27</v>
      </c>
      <c r="C164" s="48">
        <v>27</v>
      </c>
      <c r="D164" s="48">
        <v>27</v>
      </c>
      <c r="E164" s="48">
        <v>28</v>
      </c>
      <c r="F164" s="35">
        <v>28</v>
      </c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48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</row>
    <row r="165" spans="1:61" x14ac:dyDescent="0.25">
      <c r="A165" s="48" t="s">
        <v>150</v>
      </c>
      <c r="B165" s="6">
        <v>1</v>
      </c>
      <c r="C165" s="6">
        <v>1</v>
      </c>
      <c r="D165" s="6">
        <v>1</v>
      </c>
      <c r="E165" s="6">
        <v>1</v>
      </c>
      <c r="F165" s="35">
        <v>1</v>
      </c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48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</row>
    <row r="166" spans="1:61" x14ac:dyDescent="0.25">
      <c r="A166" s="81" t="s">
        <v>151</v>
      </c>
      <c r="B166" s="48">
        <v>50</v>
      </c>
      <c r="C166" s="48">
        <v>50</v>
      </c>
      <c r="D166" s="48">
        <v>47</v>
      </c>
      <c r="E166" s="48">
        <v>47</v>
      </c>
      <c r="F166" s="35">
        <v>46</v>
      </c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50"/>
      <c r="AQ166" s="50"/>
      <c r="AR166" s="50"/>
      <c r="AS166" s="50"/>
      <c r="AT166" s="51"/>
      <c r="AU166" s="50"/>
      <c r="AV166" s="50"/>
      <c r="AW166" s="50"/>
      <c r="AX166" s="50"/>
      <c r="AY166" s="50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</row>
    <row r="167" spans="1:61" x14ac:dyDescent="0.25">
      <c r="A167" s="48" t="s">
        <v>152</v>
      </c>
      <c r="B167" s="48">
        <v>4</v>
      </c>
      <c r="C167" s="48">
        <v>4</v>
      </c>
      <c r="D167" s="48">
        <v>6</v>
      </c>
      <c r="E167" s="48">
        <v>6</v>
      </c>
      <c r="F167" s="35">
        <v>6</v>
      </c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48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</row>
    <row r="168" spans="1:61" x14ac:dyDescent="0.25">
      <c r="A168" s="48" t="s">
        <v>153</v>
      </c>
      <c r="B168" s="48" t="s">
        <v>160</v>
      </c>
      <c r="C168" s="48" t="s">
        <v>160</v>
      </c>
      <c r="D168" s="48" t="s">
        <v>160</v>
      </c>
      <c r="E168" s="48" t="s">
        <v>160</v>
      </c>
      <c r="F168" s="50" t="s">
        <v>160</v>
      </c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50"/>
      <c r="AP168" s="50"/>
      <c r="AQ168" s="50"/>
      <c r="AR168" s="35"/>
      <c r="AS168" s="35"/>
      <c r="AT168" s="48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</row>
    <row r="169" spans="1:61" x14ac:dyDescent="0.25">
      <c r="A169" s="48" t="s">
        <v>154</v>
      </c>
      <c r="B169" s="48">
        <v>10</v>
      </c>
      <c r="C169" s="48">
        <v>10</v>
      </c>
      <c r="D169" s="48">
        <v>10</v>
      </c>
      <c r="E169" s="48">
        <v>9</v>
      </c>
      <c r="F169" s="35">
        <v>9</v>
      </c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48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</row>
    <row r="170" spans="1:61" x14ac:dyDescent="0.25">
      <c r="A170" s="48" t="s">
        <v>155</v>
      </c>
      <c r="B170" s="48" t="s">
        <v>160</v>
      </c>
      <c r="C170" s="48" t="s">
        <v>160</v>
      </c>
      <c r="D170" s="48" t="s">
        <v>160</v>
      </c>
      <c r="E170" s="48" t="s">
        <v>160</v>
      </c>
      <c r="F170" s="50" t="s">
        <v>160</v>
      </c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48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</row>
    <row r="171" spans="1:61" x14ac:dyDescent="0.25">
      <c r="A171" s="48" t="s">
        <v>156</v>
      </c>
      <c r="B171" s="6">
        <v>1</v>
      </c>
      <c r="C171" s="6">
        <v>1</v>
      </c>
      <c r="D171" s="6">
        <v>2</v>
      </c>
      <c r="E171" s="6">
        <v>2</v>
      </c>
      <c r="F171" s="35">
        <v>2</v>
      </c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50"/>
      <c r="AP171" s="50"/>
      <c r="AQ171" s="50"/>
      <c r="AR171" s="50"/>
      <c r="AS171" s="50"/>
      <c r="AT171" s="51"/>
      <c r="AU171" s="50"/>
      <c r="AV171" s="50"/>
      <c r="AW171" s="50"/>
      <c r="AX171" s="50"/>
      <c r="AY171" s="50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</row>
    <row r="172" spans="1:61" x14ac:dyDescent="0.25">
      <c r="A172" s="48" t="s">
        <v>157</v>
      </c>
      <c r="B172" s="6">
        <v>6</v>
      </c>
      <c r="C172" s="6">
        <v>6</v>
      </c>
      <c r="D172" s="6">
        <v>6</v>
      </c>
      <c r="E172" s="6">
        <v>6</v>
      </c>
      <c r="F172" s="55">
        <v>6</v>
      </c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48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</row>
    <row r="173" spans="1:61" x14ac:dyDescent="0.25">
      <c r="A173" s="1" t="s">
        <v>158</v>
      </c>
      <c r="B173" s="2">
        <v>117</v>
      </c>
      <c r="C173" s="2">
        <v>117</v>
      </c>
      <c r="D173" s="2">
        <v>117</v>
      </c>
      <c r="E173" s="2">
        <v>117</v>
      </c>
      <c r="F173" s="35">
        <v>117</v>
      </c>
      <c r="G173" s="48"/>
      <c r="H173" s="51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48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</row>
    <row r="174" spans="1:6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</row>
    <row r="175" spans="1:61" ht="21.95" customHeight="1" x14ac:dyDescent="0.35">
      <c r="A175" s="72" t="s">
        <v>168</v>
      </c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</row>
    <row r="176" spans="1:61" x14ac:dyDescent="0.25">
      <c r="A176" s="37" t="s">
        <v>141</v>
      </c>
      <c r="B176" s="36" t="s">
        <v>142</v>
      </c>
      <c r="C176" s="36" t="s">
        <v>143</v>
      </c>
      <c r="D176" s="36" t="s">
        <v>144</v>
      </c>
      <c r="E176" s="36" t="s">
        <v>145</v>
      </c>
      <c r="F176" s="80" t="s">
        <v>146</v>
      </c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</row>
    <row r="177" spans="1:61" x14ac:dyDescent="0.25">
      <c r="A177" s="81" t="s">
        <v>36</v>
      </c>
      <c r="B177" s="40">
        <v>0.11269999999999999</v>
      </c>
      <c r="C177" s="40">
        <v>0.1133</v>
      </c>
      <c r="D177" s="40">
        <v>0.1176</v>
      </c>
      <c r="E177" s="7">
        <v>0.1176</v>
      </c>
      <c r="F177" s="40">
        <v>0.1176</v>
      </c>
      <c r="G177" s="40"/>
      <c r="H177" s="53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1"/>
      <c r="AG177" s="41"/>
      <c r="AH177" s="41"/>
      <c r="AI177" s="41"/>
      <c r="AJ177" s="41"/>
      <c r="AK177" s="41"/>
      <c r="AL177" s="41"/>
      <c r="AM177" s="41"/>
      <c r="AN177" s="41"/>
      <c r="AO177" s="42"/>
      <c r="AP177" s="42"/>
      <c r="AQ177" s="42"/>
      <c r="AR177" s="42"/>
      <c r="AS177" s="42"/>
      <c r="AT177" s="41"/>
      <c r="AU177" s="42"/>
      <c r="AV177" s="42"/>
      <c r="AW177" s="42"/>
      <c r="AX177" s="42"/>
      <c r="AY177" s="42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</row>
    <row r="178" spans="1:6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</row>
    <row r="179" spans="1:61" x14ac:dyDescent="0.25">
      <c r="A179" s="37" t="s">
        <v>147</v>
      </c>
      <c r="B179" s="36" t="s">
        <v>142</v>
      </c>
      <c r="C179" s="36" t="s">
        <v>143</v>
      </c>
      <c r="D179" s="36" t="s">
        <v>144</v>
      </c>
      <c r="E179" s="36" t="s">
        <v>145</v>
      </c>
      <c r="F179" s="80" t="s">
        <v>146</v>
      </c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</row>
    <row r="180" spans="1:61" x14ac:dyDescent="0.25">
      <c r="A180" s="81" t="s">
        <v>148</v>
      </c>
      <c r="B180" s="48">
        <v>23</v>
      </c>
      <c r="C180" s="48">
        <v>23</v>
      </c>
      <c r="D180" s="48">
        <v>24</v>
      </c>
      <c r="E180" s="48">
        <v>24</v>
      </c>
      <c r="F180" s="56">
        <v>24</v>
      </c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48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</row>
    <row r="181" spans="1:61" x14ac:dyDescent="0.25">
      <c r="A181" s="81" t="s">
        <v>149</v>
      </c>
      <c r="B181" s="48">
        <v>165</v>
      </c>
      <c r="C181" s="48">
        <v>164</v>
      </c>
      <c r="D181" s="48">
        <v>164</v>
      </c>
      <c r="E181" s="48">
        <v>164</v>
      </c>
      <c r="F181" s="57">
        <v>164</v>
      </c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48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</row>
    <row r="182" spans="1:61" x14ac:dyDescent="0.25">
      <c r="A182" s="48" t="s">
        <v>150</v>
      </c>
      <c r="B182" s="6">
        <v>1</v>
      </c>
      <c r="C182" s="6">
        <v>1</v>
      </c>
      <c r="D182" s="6">
        <v>1</v>
      </c>
      <c r="E182" s="6">
        <v>1</v>
      </c>
      <c r="F182" s="56">
        <v>1</v>
      </c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48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</row>
    <row r="183" spans="1:61" x14ac:dyDescent="0.25">
      <c r="A183" s="81" t="s">
        <v>151</v>
      </c>
      <c r="B183" s="48">
        <v>16</v>
      </c>
      <c r="C183" s="48">
        <v>16</v>
      </c>
      <c r="D183" s="48">
        <v>16</v>
      </c>
      <c r="E183" s="48">
        <v>16</v>
      </c>
      <c r="F183" s="57">
        <v>16</v>
      </c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50"/>
      <c r="AP183" s="50"/>
      <c r="AQ183" s="50"/>
      <c r="AR183" s="50"/>
      <c r="AS183" s="51"/>
      <c r="AT183" s="50"/>
      <c r="AU183" s="50"/>
      <c r="AV183" s="50"/>
      <c r="AW183" s="50"/>
      <c r="AX183" s="50"/>
      <c r="AY183" s="50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</row>
    <row r="184" spans="1:61" x14ac:dyDescent="0.25">
      <c r="A184" s="48" t="s">
        <v>152</v>
      </c>
      <c r="B184" s="48">
        <v>9</v>
      </c>
      <c r="C184" s="48">
        <v>10</v>
      </c>
      <c r="D184" s="48">
        <v>9</v>
      </c>
      <c r="E184" s="48">
        <v>9</v>
      </c>
      <c r="F184" s="56">
        <v>9</v>
      </c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48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</row>
    <row r="185" spans="1:61" x14ac:dyDescent="0.25">
      <c r="A185" s="48" t="s">
        <v>153</v>
      </c>
      <c r="B185" s="48">
        <v>1</v>
      </c>
      <c r="C185" s="48">
        <v>1</v>
      </c>
      <c r="D185" s="48">
        <v>1</v>
      </c>
      <c r="E185" s="48">
        <v>1</v>
      </c>
      <c r="F185" s="57">
        <v>1</v>
      </c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48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</row>
    <row r="186" spans="1:61" x14ac:dyDescent="0.25">
      <c r="A186" s="48" t="s">
        <v>154</v>
      </c>
      <c r="B186" s="48">
        <v>11</v>
      </c>
      <c r="C186" s="48">
        <v>11</v>
      </c>
      <c r="D186" s="48">
        <v>11</v>
      </c>
      <c r="E186" s="48">
        <v>11</v>
      </c>
      <c r="F186" s="56">
        <v>11</v>
      </c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48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</row>
    <row r="187" spans="1:61" x14ac:dyDescent="0.25">
      <c r="A187" s="48" t="s">
        <v>155</v>
      </c>
      <c r="B187" s="48">
        <v>1</v>
      </c>
      <c r="C187" s="48">
        <v>1</v>
      </c>
      <c r="D187" s="48">
        <v>1</v>
      </c>
      <c r="E187" s="48">
        <v>1</v>
      </c>
      <c r="F187" s="57">
        <v>1</v>
      </c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48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</row>
    <row r="188" spans="1:61" x14ac:dyDescent="0.25">
      <c r="A188" s="48" t="s">
        <v>156</v>
      </c>
      <c r="B188" s="6" t="s">
        <v>160</v>
      </c>
      <c r="C188" s="6" t="s">
        <v>160</v>
      </c>
      <c r="D188" s="6" t="s">
        <v>160</v>
      </c>
      <c r="E188" s="6" t="s">
        <v>160</v>
      </c>
      <c r="F188" s="61" t="s">
        <v>160</v>
      </c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50"/>
      <c r="AP188" s="50"/>
      <c r="AQ188" s="50"/>
      <c r="AR188" s="50"/>
      <c r="AS188" s="51"/>
      <c r="AT188" s="50"/>
      <c r="AU188" s="50"/>
      <c r="AV188" s="50"/>
      <c r="AW188" s="50"/>
      <c r="AX188" s="50"/>
      <c r="AY188" s="50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</row>
    <row r="189" spans="1:61" x14ac:dyDescent="0.25">
      <c r="A189" s="48" t="s">
        <v>157</v>
      </c>
      <c r="B189" s="6">
        <v>3</v>
      </c>
      <c r="C189" s="6">
        <v>3</v>
      </c>
      <c r="D189" s="6">
        <v>3</v>
      </c>
      <c r="E189" s="6">
        <v>3</v>
      </c>
      <c r="F189" s="59">
        <v>3</v>
      </c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48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</row>
    <row r="190" spans="1:61" x14ac:dyDescent="0.25">
      <c r="A190" s="1" t="s">
        <v>158</v>
      </c>
      <c r="B190" s="2">
        <v>230</v>
      </c>
      <c r="C190" s="2">
        <v>230</v>
      </c>
      <c r="D190" s="2">
        <v>230</v>
      </c>
      <c r="E190" s="2">
        <v>230</v>
      </c>
      <c r="F190" s="56">
        <v>230</v>
      </c>
      <c r="G190" s="48"/>
      <c r="H190" s="51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48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</row>
    <row r="191" spans="1:61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</row>
    <row r="192" spans="1:61" ht="21.95" customHeight="1" x14ac:dyDescent="0.35">
      <c r="A192" s="72" t="s">
        <v>169</v>
      </c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</row>
    <row r="193" spans="1:61" x14ac:dyDescent="0.25">
      <c r="A193" s="37" t="s">
        <v>141</v>
      </c>
      <c r="B193" s="36" t="s">
        <v>142</v>
      </c>
      <c r="C193" s="36" t="s">
        <v>143</v>
      </c>
      <c r="D193" s="36" t="s">
        <v>144</v>
      </c>
      <c r="E193" s="36" t="s">
        <v>145</v>
      </c>
      <c r="F193" s="80" t="s">
        <v>146</v>
      </c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</row>
    <row r="194" spans="1:61" x14ac:dyDescent="0.25">
      <c r="A194" s="81" t="s">
        <v>36</v>
      </c>
      <c r="B194" s="40">
        <v>0.1615</v>
      </c>
      <c r="C194" s="40">
        <v>0.1603</v>
      </c>
      <c r="D194" s="40">
        <v>0.1615</v>
      </c>
      <c r="E194" s="7">
        <v>0.1615</v>
      </c>
      <c r="F194" s="40">
        <v>0.1615</v>
      </c>
      <c r="G194" s="40"/>
      <c r="H194" s="53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1"/>
      <c r="AG194" s="41"/>
      <c r="AH194" s="41"/>
      <c r="AI194" s="41"/>
      <c r="AJ194" s="41"/>
      <c r="AK194" s="41"/>
      <c r="AL194" s="41"/>
      <c r="AM194" s="41"/>
      <c r="AN194" s="41"/>
      <c r="AO194" s="42"/>
      <c r="AP194" s="42"/>
      <c r="AQ194" s="42"/>
      <c r="AR194" s="42"/>
      <c r="AS194" s="41"/>
      <c r="AT194" s="41"/>
      <c r="AU194" s="42"/>
      <c r="AV194" s="41"/>
      <c r="AW194" s="42"/>
      <c r="AX194" s="42"/>
      <c r="AY194" s="42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</row>
    <row r="195" spans="1:61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</row>
    <row r="196" spans="1:61" x14ac:dyDescent="0.25">
      <c r="A196" s="37" t="s">
        <v>147</v>
      </c>
      <c r="B196" s="36" t="s">
        <v>142</v>
      </c>
      <c r="C196" s="36" t="s">
        <v>143</v>
      </c>
      <c r="D196" s="36" t="s">
        <v>144</v>
      </c>
      <c r="E196" s="36" t="s">
        <v>145</v>
      </c>
      <c r="F196" s="80" t="s">
        <v>146</v>
      </c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</row>
    <row r="197" spans="1:61" x14ac:dyDescent="0.25">
      <c r="A197" s="81" t="s">
        <v>148</v>
      </c>
      <c r="B197" s="48">
        <v>21</v>
      </c>
      <c r="C197" s="48">
        <v>21</v>
      </c>
      <c r="D197" s="48">
        <v>21</v>
      </c>
      <c r="E197" s="48">
        <v>21</v>
      </c>
      <c r="F197" s="35">
        <v>21</v>
      </c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</row>
    <row r="198" spans="1:61" x14ac:dyDescent="0.25">
      <c r="A198" s="81" t="s">
        <v>149</v>
      </c>
      <c r="B198" s="48">
        <v>47</v>
      </c>
      <c r="C198" s="48">
        <v>48</v>
      </c>
      <c r="D198" s="48">
        <v>48</v>
      </c>
      <c r="E198" s="48">
        <v>48</v>
      </c>
      <c r="F198" s="35">
        <v>48</v>
      </c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50"/>
      <c r="AU198" s="50"/>
      <c r="AV198" s="50"/>
      <c r="AW198" s="50"/>
      <c r="AX198" s="50"/>
      <c r="AY198" s="50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</row>
    <row r="199" spans="1:61" x14ac:dyDescent="0.25">
      <c r="A199" s="48" t="s">
        <v>150</v>
      </c>
      <c r="B199" s="6">
        <v>3</v>
      </c>
      <c r="C199" s="6">
        <v>3</v>
      </c>
      <c r="D199" s="6">
        <v>3</v>
      </c>
      <c r="E199" s="6">
        <v>3</v>
      </c>
      <c r="F199" s="35">
        <v>3</v>
      </c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50"/>
      <c r="AP199" s="50"/>
      <c r="AQ199" s="50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</row>
    <row r="200" spans="1:61" x14ac:dyDescent="0.25">
      <c r="A200" s="81" t="s">
        <v>151</v>
      </c>
      <c r="B200" s="48">
        <v>62</v>
      </c>
      <c r="C200" s="48">
        <v>62</v>
      </c>
      <c r="D200" s="48">
        <v>61</v>
      </c>
      <c r="E200" s="48">
        <v>61</v>
      </c>
      <c r="F200" s="35">
        <v>61</v>
      </c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50"/>
      <c r="AU200" s="50"/>
      <c r="AV200" s="50"/>
      <c r="AW200" s="50"/>
      <c r="AX200" s="50"/>
      <c r="AY200" s="50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</row>
    <row r="201" spans="1:61" x14ac:dyDescent="0.25">
      <c r="A201" s="48" t="s">
        <v>152</v>
      </c>
      <c r="B201" s="48">
        <v>6</v>
      </c>
      <c r="C201" s="48">
        <v>5</v>
      </c>
      <c r="D201" s="48">
        <v>5</v>
      </c>
      <c r="E201" s="48">
        <v>5</v>
      </c>
      <c r="F201" s="35">
        <v>5</v>
      </c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</row>
    <row r="202" spans="1:61" x14ac:dyDescent="0.25">
      <c r="A202" s="48" t="s">
        <v>153</v>
      </c>
      <c r="B202" s="48" t="s">
        <v>160</v>
      </c>
      <c r="C202" s="48" t="s">
        <v>160</v>
      </c>
      <c r="D202" s="48" t="s">
        <v>160</v>
      </c>
      <c r="E202" s="48" t="s">
        <v>160</v>
      </c>
      <c r="F202" s="50" t="s">
        <v>160</v>
      </c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</row>
    <row r="203" spans="1:61" x14ac:dyDescent="0.25">
      <c r="A203" s="48" t="s">
        <v>154</v>
      </c>
      <c r="B203" s="48">
        <v>3</v>
      </c>
      <c r="C203" s="48">
        <v>3</v>
      </c>
      <c r="D203" s="48">
        <v>3</v>
      </c>
      <c r="E203" s="48">
        <v>3</v>
      </c>
      <c r="F203" s="35">
        <v>3</v>
      </c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</row>
    <row r="204" spans="1:61" x14ac:dyDescent="0.25">
      <c r="A204" s="48" t="s">
        <v>155</v>
      </c>
      <c r="B204" s="48">
        <v>1</v>
      </c>
      <c r="C204" s="48">
        <v>1</v>
      </c>
      <c r="D204" s="48">
        <v>1</v>
      </c>
      <c r="E204" s="48">
        <v>1</v>
      </c>
      <c r="F204" s="35">
        <v>1</v>
      </c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</row>
    <row r="205" spans="1:61" x14ac:dyDescent="0.25">
      <c r="A205" s="48" t="s">
        <v>156</v>
      </c>
      <c r="B205" s="6" t="s">
        <v>160</v>
      </c>
      <c r="C205" s="6" t="s">
        <v>160</v>
      </c>
      <c r="D205" s="6" t="s">
        <v>160</v>
      </c>
      <c r="E205" s="6" t="s">
        <v>160</v>
      </c>
      <c r="F205" s="50" t="s">
        <v>160</v>
      </c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</row>
    <row r="206" spans="1:61" x14ac:dyDescent="0.25">
      <c r="A206" s="48" t="s">
        <v>157</v>
      </c>
      <c r="B206" s="6">
        <v>7</v>
      </c>
      <c r="C206" s="6">
        <v>7</v>
      </c>
      <c r="D206" s="6">
        <v>7</v>
      </c>
      <c r="E206" s="6">
        <v>7</v>
      </c>
      <c r="F206" s="55">
        <v>7</v>
      </c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</row>
    <row r="207" spans="1:61" x14ac:dyDescent="0.25">
      <c r="A207" s="1" t="s">
        <v>158</v>
      </c>
      <c r="B207" s="2">
        <v>150</v>
      </c>
      <c r="C207" s="2">
        <v>150</v>
      </c>
      <c r="D207" s="2">
        <v>149</v>
      </c>
      <c r="E207" s="2">
        <v>149</v>
      </c>
      <c r="F207" s="35">
        <v>149</v>
      </c>
      <c r="G207" s="48"/>
      <c r="H207" s="51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</row>
    <row r="208" spans="1:61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</row>
    <row r="209" spans="1:61" ht="21.95" customHeight="1" x14ac:dyDescent="0.35">
      <c r="A209" s="72" t="s">
        <v>170</v>
      </c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</row>
    <row r="210" spans="1:61" x14ac:dyDescent="0.25">
      <c r="A210" s="37" t="s">
        <v>141</v>
      </c>
      <c r="B210" s="36" t="s">
        <v>142</v>
      </c>
      <c r="C210" s="36" t="s">
        <v>143</v>
      </c>
      <c r="D210" s="36" t="s">
        <v>144</v>
      </c>
      <c r="E210" s="36" t="s">
        <v>145</v>
      </c>
      <c r="F210" s="80" t="s">
        <v>146</v>
      </c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</row>
    <row r="211" spans="1:61" x14ac:dyDescent="0.25">
      <c r="A211" s="81" t="s">
        <v>36</v>
      </c>
      <c r="B211" s="40">
        <v>0.23180000000000001</v>
      </c>
      <c r="C211" s="40">
        <v>0.22869999999999999</v>
      </c>
      <c r="D211" s="40">
        <v>0.23769999999999999</v>
      </c>
      <c r="E211" s="7">
        <v>0.2387</v>
      </c>
      <c r="F211" s="42">
        <v>0.2432</v>
      </c>
      <c r="G211" s="40"/>
      <c r="H211" s="53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1"/>
      <c r="AG211" s="41"/>
      <c r="AH211" s="41"/>
      <c r="AI211" s="41"/>
      <c r="AJ211" s="41"/>
      <c r="AK211" s="41"/>
      <c r="AL211" s="41"/>
      <c r="AM211" s="41"/>
      <c r="AN211" s="41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</row>
    <row r="212" spans="1:6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</row>
    <row r="213" spans="1:61" x14ac:dyDescent="0.25">
      <c r="A213" s="37" t="s">
        <v>147</v>
      </c>
      <c r="B213" s="36" t="s">
        <v>142</v>
      </c>
      <c r="C213" s="36" t="s">
        <v>143</v>
      </c>
      <c r="D213" s="36" t="s">
        <v>144</v>
      </c>
      <c r="E213" s="36" t="s">
        <v>145</v>
      </c>
      <c r="F213" s="80" t="s">
        <v>146</v>
      </c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</row>
    <row r="214" spans="1:61" x14ac:dyDescent="0.25">
      <c r="A214" s="81" t="s">
        <v>148</v>
      </c>
      <c r="B214" s="48">
        <v>51</v>
      </c>
      <c r="C214" s="48">
        <v>51</v>
      </c>
      <c r="D214" s="48">
        <v>53</v>
      </c>
      <c r="E214" s="48">
        <v>53</v>
      </c>
      <c r="F214" s="35">
        <v>54</v>
      </c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48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</row>
    <row r="215" spans="1:61" x14ac:dyDescent="0.25">
      <c r="A215" s="81" t="s">
        <v>149</v>
      </c>
      <c r="B215" s="48">
        <v>74</v>
      </c>
      <c r="C215" s="48">
        <v>75</v>
      </c>
      <c r="D215" s="48">
        <v>73</v>
      </c>
      <c r="E215" s="48">
        <v>72</v>
      </c>
      <c r="F215" s="35">
        <v>71</v>
      </c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50"/>
      <c r="AP215" s="50"/>
      <c r="AQ215" s="50"/>
      <c r="AR215" s="50"/>
      <c r="AS215" s="35"/>
      <c r="AT215" s="48"/>
      <c r="AU215" s="35"/>
      <c r="AV215" s="35"/>
      <c r="AW215" s="35"/>
      <c r="AX215" s="50"/>
      <c r="AY215" s="50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</row>
    <row r="216" spans="1:61" x14ac:dyDescent="0.25">
      <c r="A216" s="48" t="s">
        <v>150</v>
      </c>
      <c r="B216" s="6" t="s">
        <v>160</v>
      </c>
      <c r="C216" s="6" t="s">
        <v>160</v>
      </c>
      <c r="D216" s="6" t="s">
        <v>160</v>
      </c>
      <c r="E216" s="6" t="s">
        <v>160</v>
      </c>
      <c r="F216" s="50" t="s">
        <v>160</v>
      </c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50"/>
      <c r="AP216" s="50"/>
      <c r="AQ216" s="50"/>
      <c r="AR216" s="50"/>
      <c r="AS216" s="50"/>
      <c r="AT216" s="51"/>
      <c r="AU216" s="50"/>
      <c r="AV216" s="50"/>
      <c r="AW216" s="50"/>
      <c r="AX216" s="50"/>
      <c r="AY216" s="50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</row>
    <row r="217" spans="1:61" x14ac:dyDescent="0.25">
      <c r="A217" s="81" t="s">
        <v>151</v>
      </c>
      <c r="B217" s="48">
        <v>95</v>
      </c>
      <c r="C217" s="48">
        <v>97</v>
      </c>
      <c r="D217" s="48">
        <v>97</v>
      </c>
      <c r="E217" s="48">
        <v>97</v>
      </c>
      <c r="F217" s="35">
        <v>97</v>
      </c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50"/>
      <c r="AP217" s="50"/>
      <c r="AQ217" s="50"/>
      <c r="AR217" s="50"/>
      <c r="AS217" s="50"/>
      <c r="AT217" s="51"/>
      <c r="AU217" s="50"/>
      <c r="AV217" s="50"/>
      <c r="AW217" s="50"/>
      <c r="AX217" s="50"/>
      <c r="AY217" s="50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</row>
    <row r="218" spans="1:61" x14ac:dyDescent="0.25">
      <c r="A218" s="48" t="s">
        <v>152</v>
      </c>
      <c r="B218" s="48">
        <v>6</v>
      </c>
      <c r="C218" s="48">
        <v>6</v>
      </c>
      <c r="D218" s="48">
        <v>6</v>
      </c>
      <c r="E218" s="48">
        <v>6</v>
      </c>
      <c r="F218" s="35">
        <v>6</v>
      </c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48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</row>
    <row r="219" spans="1:61" x14ac:dyDescent="0.25">
      <c r="A219" s="48" t="s">
        <v>153</v>
      </c>
      <c r="B219" s="48">
        <v>1</v>
      </c>
      <c r="C219" s="48">
        <v>1</v>
      </c>
      <c r="D219" s="48">
        <v>1</v>
      </c>
      <c r="E219" s="48">
        <v>1</v>
      </c>
      <c r="F219" s="35">
        <v>1</v>
      </c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48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</row>
    <row r="220" spans="1:61" x14ac:dyDescent="0.25">
      <c r="A220" s="48" t="s">
        <v>154</v>
      </c>
      <c r="B220" s="48" t="s">
        <v>160</v>
      </c>
      <c r="C220" s="48" t="s">
        <v>160</v>
      </c>
      <c r="D220" s="48" t="s">
        <v>160</v>
      </c>
      <c r="E220" s="48" t="s">
        <v>160</v>
      </c>
      <c r="F220" s="50" t="s">
        <v>160</v>
      </c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50"/>
      <c r="AP220" s="50"/>
      <c r="AQ220" s="50"/>
      <c r="AR220" s="50"/>
      <c r="AS220" s="50"/>
      <c r="AT220" s="51"/>
      <c r="AU220" s="50"/>
      <c r="AV220" s="50"/>
      <c r="AW220" s="50"/>
      <c r="AX220" s="50"/>
      <c r="AY220" s="50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</row>
    <row r="221" spans="1:61" x14ac:dyDescent="0.25">
      <c r="A221" s="48" t="s">
        <v>155</v>
      </c>
      <c r="B221" s="48" t="s">
        <v>160</v>
      </c>
      <c r="C221" s="48" t="s">
        <v>160</v>
      </c>
      <c r="D221" s="48" t="s">
        <v>160</v>
      </c>
      <c r="E221" s="48" t="s">
        <v>160</v>
      </c>
      <c r="F221" s="50" t="s">
        <v>160</v>
      </c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48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</row>
    <row r="222" spans="1:61" x14ac:dyDescent="0.25">
      <c r="A222" s="48" t="s">
        <v>156</v>
      </c>
      <c r="B222" s="6" t="s">
        <v>160</v>
      </c>
      <c r="C222" s="6" t="s">
        <v>160</v>
      </c>
      <c r="D222" s="6" t="s">
        <v>160</v>
      </c>
      <c r="E222" s="6" t="s">
        <v>160</v>
      </c>
      <c r="F222" s="50" t="s">
        <v>160</v>
      </c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50"/>
      <c r="AP222" s="50"/>
      <c r="AQ222" s="50"/>
      <c r="AR222" s="50"/>
      <c r="AS222" s="50"/>
      <c r="AT222" s="51"/>
      <c r="AU222" s="50"/>
      <c r="AV222" s="50"/>
      <c r="AW222" s="50"/>
      <c r="AX222" s="50"/>
      <c r="AY222" s="50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</row>
    <row r="223" spans="1:61" x14ac:dyDescent="0.25">
      <c r="A223" s="48" t="s">
        <v>157</v>
      </c>
      <c r="B223" s="6">
        <v>1</v>
      </c>
      <c r="C223" s="6">
        <v>1</v>
      </c>
      <c r="D223" s="6">
        <v>1</v>
      </c>
      <c r="E223" s="6">
        <v>1</v>
      </c>
      <c r="F223" s="55">
        <v>1</v>
      </c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48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</row>
    <row r="224" spans="1:61" x14ac:dyDescent="0.25">
      <c r="A224" s="1" t="s">
        <v>158</v>
      </c>
      <c r="B224" s="2">
        <v>228</v>
      </c>
      <c r="C224" s="2">
        <v>231</v>
      </c>
      <c r="D224" s="2">
        <v>231</v>
      </c>
      <c r="E224" s="2">
        <v>230</v>
      </c>
      <c r="F224" s="35">
        <v>230</v>
      </c>
      <c r="G224" s="48"/>
      <c r="H224" s="51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48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</row>
    <row r="225" spans="1:6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</row>
    <row r="226" spans="1:61" ht="21.95" customHeight="1" x14ac:dyDescent="0.35">
      <c r="A226" s="72" t="s">
        <v>171</v>
      </c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</row>
    <row r="227" spans="1:61" x14ac:dyDescent="0.25">
      <c r="A227" s="37" t="s">
        <v>141</v>
      </c>
      <c r="B227" s="36" t="s">
        <v>142</v>
      </c>
      <c r="C227" s="36" t="s">
        <v>143</v>
      </c>
      <c r="D227" s="36" t="s">
        <v>144</v>
      </c>
      <c r="E227" s="36" t="s">
        <v>145</v>
      </c>
      <c r="F227" s="80" t="s">
        <v>146</v>
      </c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</row>
    <row r="228" spans="1:61" x14ac:dyDescent="0.25">
      <c r="A228" s="81" t="s">
        <v>36</v>
      </c>
      <c r="B228" s="40">
        <v>9.3800000000000008E-2</v>
      </c>
      <c r="C228" s="40">
        <v>9.3800000000000008E-2</v>
      </c>
      <c r="D228" s="40">
        <v>9.3800000000000008E-2</v>
      </c>
      <c r="E228" s="7">
        <v>0.1042</v>
      </c>
      <c r="F228" s="42">
        <v>0.13539999999999999</v>
      </c>
      <c r="G228" s="40"/>
      <c r="H228" s="53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1"/>
      <c r="AG228" s="41"/>
      <c r="AH228" s="41"/>
      <c r="AI228" s="41"/>
      <c r="AJ228" s="41"/>
      <c r="AK228" s="41"/>
      <c r="AL228" s="41"/>
      <c r="AM228" s="41"/>
      <c r="AN228" s="41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</row>
    <row r="229" spans="1:6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</row>
    <row r="230" spans="1:61" x14ac:dyDescent="0.25">
      <c r="A230" s="37" t="s">
        <v>147</v>
      </c>
      <c r="B230" s="36" t="s">
        <v>142</v>
      </c>
      <c r="C230" s="36" t="s">
        <v>143</v>
      </c>
      <c r="D230" s="36" t="s">
        <v>144</v>
      </c>
      <c r="E230" s="36" t="s">
        <v>145</v>
      </c>
      <c r="F230" s="80" t="s">
        <v>146</v>
      </c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</row>
    <row r="231" spans="1:61" x14ac:dyDescent="0.25">
      <c r="A231" s="81" t="s">
        <v>148</v>
      </c>
      <c r="B231" s="48">
        <v>9</v>
      </c>
      <c r="C231" s="48">
        <v>9</v>
      </c>
      <c r="D231" s="48">
        <v>9</v>
      </c>
      <c r="E231" s="48">
        <v>10</v>
      </c>
      <c r="F231" s="35">
        <v>13</v>
      </c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48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</row>
    <row r="232" spans="1:61" x14ac:dyDescent="0.25">
      <c r="A232" s="81" t="s">
        <v>149</v>
      </c>
      <c r="B232" s="48">
        <v>64</v>
      </c>
      <c r="C232" s="48">
        <v>64</v>
      </c>
      <c r="D232" s="48">
        <v>64</v>
      </c>
      <c r="E232" s="48">
        <v>63</v>
      </c>
      <c r="F232" s="35">
        <v>60</v>
      </c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48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</row>
    <row r="233" spans="1:61" x14ac:dyDescent="0.25">
      <c r="A233" s="48" t="s">
        <v>150</v>
      </c>
      <c r="B233" s="6" t="s">
        <v>160</v>
      </c>
      <c r="C233" s="6" t="s">
        <v>160</v>
      </c>
      <c r="D233" s="6" t="s">
        <v>160</v>
      </c>
      <c r="E233" s="6" t="s">
        <v>160</v>
      </c>
      <c r="F233" s="50" t="s">
        <v>160</v>
      </c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50"/>
      <c r="AP233" s="50"/>
      <c r="AQ233" s="50"/>
      <c r="AR233" s="50"/>
      <c r="AS233" s="50"/>
      <c r="AT233" s="50"/>
      <c r="AU233" s="50"/>
      <c r="AV233" s="50"/>
      <c r="AW233" s="51"/>
      <c r="AX233" s="50"/>
      <c r="AY233" s="50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</row>
    <row r="234" spans="1:61" x14ac:dyDescent="0.25">
      <c r="A234" s="81" t="s">
        <v>151</v>
      </c>
      <c r="B234" s="48">
        <v>23</v>
      </c>
      <c r="C234" s="48">
        <v>23</v>
      </c>
      <c r="D234" s="48">
        <v>23</v>
      </c>
      <c r="E234" s="48">
        <v>23</v>
      </c>
      <c r="F234" s="35">
        <v>23</v>
      </c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50"/>
      <c r="AP234" s="50"/>
      <c r="AQ234" s="50"/>
      <c r="AR234" s="50"/>
      <c r="AS234" s="50"/>
      <c r="AT234" s="50"/>
      <c r="AU234" s="50"/>
      <c r="AV234" s="50"/>
      <c r="AW234" s="51"/>
      <c r="AX234" s="50"/>
      <c r="AY234" s="50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</row>
    <row r="235" spans="1:61" x14ac:dyDescent="0.25">
      <c r="A235" s="48" t="s">
        <v>152</v>
      </c>
      <c r="B235" s="48">
        <v>2</v>
      </c>
      <c r="C235" s="48">
        <v>2</v>
      </c>
      <c r="D235" s="48">
        <v>2</v>
      </c>
      <c r="E235" s="48">
        <v>2</v>
      </c>
      <c r="F235" s="35">
        <v>2</v>
      </c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48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</row>
    <row r="236" spans="1:61" x14ac:dyDescent="0.25">
      <c r="A236" s="48" t="s">
        <v>153</v>
      </c>
      <c r="B236" s="48" t="s">
        <v>160</v>
      </c>
      <c r="C236" s="48" t="s">
        <v>160</v>
      </c>
      <c r="D236" s="48" t="s">
        <v>160</v>
      </c>
      <c r="E236" s="48" t="s">
        <v>160</v>
      </c>
      <c r="F236" s="50" t="s">
        <v>160</v>
      </c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50"/>
      <c r="AP236" s="50"/>
      <c r="AQ236" s="50"/>
      <c r="AR236" s="50"/>
      <c r="AS236" s="50"/>
      <c r="AT236" s="50"/>
      <c r="AU236" s="50"/>
      <c r="AV236" s="50"/>
      <c r="AW236" s="51"/>
      <c r="AX236" s="50"/>
      <c r="AY236" s="50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</row>
    <row r="237" spans="1:61" x14ac:dyDescent="0.25">
      <c r="A237" s="48" t="s">
        <v>154</v>
      </c>
      <c r="B237" s="48">
        <v>1</v>
      </c>
      <c r="C237" s="48">
        <v>1</v>
      </c>
      <c r="D237" s="48">
        <v>1</v>
      </c>
      <c r="E237" s="48">
        <v>1</v>
      </c>
      <c r="F237" s="35">
        <v>1</v>
      </c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48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</row>
    <row r="238" spans="1:61" x14ac:dyDescent="0.25">
      <c r="A238" s="48" t="s">
        <v>155</v>
      </c>
      <c r="B238" s="48" t="s">
        <v>160</v>
      </c>
      <c r="C238" s="48" t="s">
        <v>160</v>
      </c>
      <c r="D238" s="48" t="s">
        <v>160</v>
      </c>
      <c r="E238" s="48" t="s">
        <v>160</v>
      </c>
      <c r="F238" s="50" t="s">
        <v>160</v>
      </c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48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</row>
    <row r="239" spans="1:61" x14ac:dyDescent="0.25">
      <c r="A239" s="48" t="s">
        <v>156</v>
      </c>
      <c r="B239" s="6" t="s">
        <v>160</v>
      </c>
      <c r="C239" s="6" t="s">
        <v>160</v>
      </c>
      <c r="D239" s="6" t="s">
        <v>160</v>
      </c>
      <c r="E239" s="6" t="s">
        <v>160</v>
      </c>
      <c r="F239" s="50" t="s">
        <v>160</v>
      </c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50"/>
      <c r="AP239" s="50"/>
      <c r="AQ239" s="50"/>
      <c r="AR239" s="50"/>
      <c r="AS239" s="50"/>
      <c r="AT239" s="50"/>
      <c r="AU239" s="50"/>
      <c r="AV239" s="50"/>
      <c r="AW239" s="51"/>
      <c r="AX239" s="50"/>
      <c r="AY239" s="50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</row>
    <row r="240" spans="1:61" x14ac:dyDescent="0.25">
      <c r="A240" s="48" t="s">
        <v>157</v>
      </c>
      <c r="B240" s="6">
        <v>3</v>
      </c>
      <c r="C240" s="6">
        <v>3</v>
      </c>
      <c r="D240" s="6">
        <v>3</v>
      </c>
      <c r="E240" s="6">
        <v>3</v>
      </c>
      <c r="F240" s="55">
        <v>3</v>
      </c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48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</row>
    <row r="241" spans="1:61" x14ac:dyDescent="0.25">
      <c r="A241" s="1" t="s">
        <v>158</v>
      </c>
      <c r="B241" s="2">
        <v>102</v>
      </c>
      <c r="C241" s="2">
        <v>102</v>
      </c>
      <c r="D241" s="2">
        <v>102</v>
      </c>
      <c r="E241" s="2">
        <v>102</v>
      </c>
      <c r="F241" s="35">
        <v>102</v>
      </c>
      <c r="G241" s="48"/>
      <c r="H241" s="51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48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</row>
    <row r="242" spans="1:6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</row>
    <row r="243" spans="1:61" ht="21.95" customHeight="1" x14ac:dyDescent="0.35">
      <c r="A243" s="72" t="s">
        <v>172</v>
      </c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</row>
    <row r="244" spans="1:61" x14ac:dyDescent="0.25">
      <c r="A244" s="37" t="s">
        <v>141</v>
      </c>
      <c r="B244" s="36" t="s">
        <v>142</v>
      </c>
      <c r="C244" s="36" t="s">
        <v>143</v>
      </c>
      <c r="D244" s="36" t="s">
        <v>144</v>
      </c>
      <c r="E244" s="36" t="s">
        <v>145</v>
      </c>
      <c r="F244" s="80" t="s">
        <v>146</v>
      </c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</row>
    <row r="245" spans="1:61" x14ac:dyDescent="0.25">
      <c r="A245" s="81" t="s">
        <v>36</v>
      </c>
      <c r="B245" s="40">
        <v>8.7899999999999992E-2</v>
      </c>
      <c r="C245" s="40">
        <v>8.7899999999999992E-2</v>
      </c>
      <c r="D245" s="40">
        <v>8.7899999999999992E-2</v>
      </c>
      <c r="E245" s="7">
        <v>8.7899999999999992E-2</v>
      </c>
      <c r="F245" s="42">
        <v>9.8900000000000002E-2</v>
      </c>
      <c r="G245" s="40"/>
      <c r="H245" s="53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1"/>
      <c r="AG245" s="41"/>
      <c r="AH245" s="41"/>
      <c r="AI245" s="41"/>
      <c r="AJ245" s="41"/>
      <c r="AK245" s="41"/>
      <c r="AL245" s="41"/>
      <c r="AM245" s="41"/>
      <c r="AN245" s="41"/>
      <c r="AO245" s="42"/>
      <c r="AP245" s="42"/>
      <c r="AQ245" s="42"/>
      <c r="AR245" s="42"/>
      <c r="AS245" s="42"/>
      <c r="AT245" s="42"/>
      <c r="AU245" s="41"/>
      <c r="AV245" s="42"/>
      <c r="AW245" s="42"/>
      <c r="AX245" s="42"/>
      <c r="AY245" s="42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</row>
    <row r="246" spans="1:6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</row>
    <row r="247" spans="1:61" x14ac:dyDescent="0.25">
      <c r="A247" s="37" t="s">
        <v>147</v>
      </c>
      <c r="B247" s="36" t="s">
        <v>142</v>
      </c>
      <c r="C247" s="36" t="s">
        <v>143</v>
      </c>
      <c r="D247" s="36" t="s">
        <v>144</v>
      </c>
      <c r="E247" s="36" t="s">
        <v>145</v>
      </c>
      <c r="F247" s="80" t="s">
        <v>146</v>
      </c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</row>
    <row r="248" spans="1:61" x14ac:dyDescent="0.25">
      <c r="A248" s="81" t="s">
        <v>148</v>
      </c>
      <c r="B248" s="48">
        <v>8</v>
      </c>
      <c r="C248" s="48">
        <v>8</v>
      </c>
      <c r="D248" s="48">
        <v>8</v>
      </c>
      <c r="E248" s="48">
        <v>8</v>
      </c>
      <c r="F248" s="35">
        <v>9</v>
      </c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48"/>
      <c r="AU248" s="35"/>
      <c r="AV248" s="35"/>
      <c r="AW248" s="35"/>
      <c r="AX248" s="48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</row>
    <row r="249" spans="1:61" x14ac:dyDescent="0.25">
      <c r="A249" s="81" t="s">
        <v>149</v>
      </c>
      <c r="B249" s="48">
        <v>57</v>
      </c>
      <c r="C249" s="48">
        <v>57</v>
      </c>
      <c r="D249" s="48">
        <v>57</v>
      </c>
      <c r="E249" s="48">
        <v>57</v>
      </c>
      <c r="F249" s="35">
        <v>56</v>
      </c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48"/>
      <c r="AU249" s="35"/>
      <c r="AV249" s="35"/>
      <c r="AW249" s="35"/>
      <c r="AX249" s="48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</row>
    <row r="250" spans="1:61" x14ac:dyDescent="0.25">
      <c r="A250" s="48" t="s">
        <v>150</v>
      </c>
      <c r="B250" s="6" t="s">
        <v>160</v>
      </c>
      <c r="C250" s="6" t="s">
        <v>160</v>
      </c>
      <c r="D250" s="6" t="s">
        <v>160</v>
      </c>
      <c r="E250" s="6" t="s">
        <v>160</v>
      </c>
      <c r="F250" s="50" t="s">
        <v>160</v>
      </c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50"/>
      <c r="AP250" s="35"/>
      <c r="AQ250" s="50"/>
      <c r="AR250" s="35"/>
      <c r="AS250" s="35"/>
      <c r="AT250" s="48"/>
      <c r="AU250" s="35"/>
      <c r="AV250" s="35"/>
      <c r="AW250" s="35"/>
      <c r="AX250" s="48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</row>
    <row r="251" spans="1:61" x14ac:dyDescent="0.25">
      <c r="A251" s="81" t="s">
        <v>151</v>
      </c>
      <c r="B251" s="48">
        <v>26</v>
      </c>
      <c r="C251" s="48">
        <v>26</v>
      </c>
      <c r="D251" s="48">
        <v>26</v>
      </c>
      <c r="E251" s="48">
        <v>26</v>
      </c>
      <c r="F251" s="35">
        <v>26</v>
      </c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50"/>
      <c r="AP251" s="50"/>
      <c r="AQ251" s="50"/>
      <c r="AR251" s="50"/>
      <c r="AS251" s="50"/>
      <c r="AT251" s="51"/>
      <c r="AU251" s="50"/>
      <c r="AV251" s="50"/>
      <c r="AW251" s="50"/>
      <c r="AX251" s="51"/>
      <c r="AY251" s="50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</row>
    <row r="252" spans="1:61" x14ac:dyDescent="0.25">
      <c r="A252" s="48" t="s">
        <v>152</v>
      </c>
      <c r="B252" s="48">
        <v>2</v>
      </c>
      <c r="C252" s="48">
        <v>2</v>
      </c>
      <c r="D252" s="48">
        <v>2</v>
      </c>
      <c r="E252" s="48">
        <v>2</v>
      </c>
      <c r="F252" s="35">
        <v>2</v>
      </c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48"/>
      <c r="AU252" s="35"/>
      <c r="AV252" s="35"/>
      <c r="AW252" s="35"/>
      <c r="AX252" s="48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</row>
    <row r="253" spans="1:61" x14ac:dyDescent="0.25">
      <c r="A253" s="48" t="s">
        <v>153</v>
      </c>
      <c r="B253" s="48" t="s">
        <v>160</v>
      </c>
      <c r="C253" s="48" t="s">
        <v>160</v>
      </c>
      <c r="D253" s="48" t="s">
        <v>160</v>
      </c>
      <c r="E253" s="48" t="s">
        <v>160</v>
      </c>
      <c r="F253" s="50" t="s">
        <v>160</v>
      </c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50"/>
      <c r="AP253" s="50"/>
      <c r="AQ253" s="50"/>
      <c r="AR253" s="50"/>
      <c r="AS253" s="50"/>
      <c r="AT253" s="51"/>
      <c r="AU253" s="50"/>
      <c r="AV253" s="50"/>
      <c r="AW253" s="50"/>
      <c r="AX253" s="51"/>
      <c r="AY253" s="50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</row>
    <row r="254" spans="1:61" x14ac:dyDescent="0.25">
      <c r="A254" s="48" t="s">
        <v>154</v>
      </c>
      <c r="B254" s="48">
        <v>1</v>
      </c>
      <c r="C254" s="48">
        <v>1</v>
      </c>
      <c r="D254" s="48">
        <v>1</v>
      </c>
      <c r="E254" s="48">
        <v>1</v>
      </c>
      <c r="F254" s="35">
        <v>1</v>
      </c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48"/>
      <c r="AU254" s="35"/>
      <c r="AV254" s="35"/>
      <c r="AW254" s="35"/>
      <c r="AX254" s="48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</row>
    <row r="255" spans="1:61" x14ac:dyDescent="0.25">
      <c r="A255" s="48" t="s">
        <v>155</v>
      </c>
      <c r="B255" s="48" t="s">
        <v>160</v>
      </c>
      <c r="C255" s="48" t="s">
        <v>160</v>
      </c>
      <c r="D255" s="48" t="s">
        <v>160</v>
      </c>
      <c r="E255" s="48" t="s">
        <v>160</v>
      </c>
      <c r="F255" s="50" t="s">
        <v>160</v>
      </c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48"/>
      <c r="AU255" s="35"/>
      <c r="AV255" s="35"/>
      <c r="AW255" s="35"/>
      <c r="AX255" s="48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</row>
    <row r="256" spans="1:61" x14ac:dyDescent="0.25">
      <c r="A256" s="48" t="s">
        <v>156</v>
      </c>
      <c r="B256" s="6" t="s">
        <v>160</v>
      </c>
      <c r="C256" s="6" t="s">
        <v>160</v>
      </c>
      <c r="D256" s="6" t="s">
        <v>160</v>
      </c>
      <c r="E256" s="6" t="s">
        <v>160</v>
      </c>
      <c r="F256" s="50" t="s">
        <v>160</v>
      </c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50"/>
      <c r="AP256" s="50"/>
      <c r="AQ256" s="50"/>
      <c r="AR256" s="50"/>
      <c r="AS256" s="50"/>
      <c r="AT256" s="51"/>
      <c r="AU256" s="50"/>
      <c r="AV256" s="50"/>
      <c r="AW256" s="50"/>
      <c r="AX256" s="51"/>
      <c r="AY256" s="50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</row>
    <row r="257" spans="1:61" x14ac:dyDescent="0.25">
      <c r="A257" s="48" t="s">
        <v>157</v>
      </c>
      <c r="B257" s="6">
        <v>1</v>
      </c>
      <c r="C257" s="6">
        <v>1</v>
      </c>
      <c r="D257" s="6">
        <v>1</v>
      </c>
      <c r="E257" s="6">
        <v>1</v>
      </c>
      <c r="F257" s="55">
        <v>1</v>
      </c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48"/>
      <c r="AU257" s="35"/>
      <c r="AV257" s="35"/>
      <c r="AW257" s="35"/>
      <c r="AX257" s="48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</row>
    <row r="258" spans="1:61" x14ac:dyDescent="0.25">
      <c r="A258" s="1" t="s">
        <v>158</v>
      </c>
      <c r="B258" s="2">
        <v>95</v>
      </c>
      <c r="C258" s="2">
        <v>95</v>
      </c>
      <c r="D258" s="2">
        <v>95</v>
      </c>
      <c r="E258" s="2">
        <v>95</v>
      </c>
      <c r="F258" s="35">
        <v>95</v>
      </c>
      <c r="G258" s="48"/>
      <c r="H258" s="51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48"/>
      <c r="AU258" s="35"/>
      <c r="AV258" s="35"/>
      <c r="AW258" s="35"/>
      <c r="AX258" s="48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</row>
    <row r="259" spans="1:6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</row>
    <row r="260" spans="1:61" ht="21.95" customHeight="1" x14ac:dyDescent="0.35">
      <c r="A260" s="72" t="s">
        <v>173</v>
      </c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</row>
    <row r="261" spans="1:61" x14ac:dyDescent="0.25">
      <c r="A261" s="37" t="s">
        <v>141</v>
      </c>
      <c r="B261" s="36" t="s">
        <v>142</v>
      </c>
      <c r="C261" s="36" t="s">
        <v>143</v>
      </c>
      <c r="D261" s="36" t="s">
        <v>144</v>
      </c>
      <c r="E261" s="36" t="s">
        <v>145</v>
      </c>
      <c r="F261" s="80" t="s">
        <v>146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</row>
    <row r="262" spans="1:61" x14ac:dyDescent="0.25">
      <c r="A262" s="81" t="s">
        <v>36</v>
      </c>
      <c r="B262" s="40">
        <v>0</v>
      </c>
      <c r="C262" s="40">
        <v>0</v>
      </c>
      <c r="D262" s="40">
        <v>0</v>
      </c>
      <c r="E262" s="7">
        <v>0</v>
      </c>
      <c r="F262" s="42">
        <v>0</v>
      </c>
      <c r="G262" s="40"/>
      <c r="H262" s="53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1"/>
      <c r="AG262" s="41"/>
      <c r="AH262" s="41"/>
      <c r="AI262" s="41"/>
      <c r="AJ262" s="41"/>
      <c r="AK262" s="41"/>
      <c r="AL262" s="41"/>
      <c r="AM262" s="41"/>
      <c r="AN262" s="41"/>
      <c r="AO262" s="42"/>
      <c r="AP262" s="42"/>
      <c r="AQ262" s="42"/>
      <c r="AR262" s="42"/>
      <c r="AS262" s="42"/>
      <c r="AT262" s="41"/>
      <c r="AU262" s="42"/>
      <c r="AV262" s="42"/>
      <c r="AW262" s="41"/>
      <c r="AX262" s="42"/>
      <c r="AY262" s="42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</row>
    <row r="263" spans="1:6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</row>
    <row r="264" spans="1:61" x14ac:dyDescent="0.25">
      <c r="A264" s="37" t="s">
        <v>147</v>
      </c>
      <c r="B264" s="36" t="s">
        <v>142</v>
      </c>
      <c r="C264" s="36" t="s">
        <v>143</v>
      </c>
      <c r="D264" s="36" t="s">
        <v>144</v>
      </c>
      <c r="E264" s="36" t="s">
        <v>145</v>
      </c>
      <c r="F264" s="80" t="s">
        <v>146</v>
      </c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</row>
    <row r="265" spans="1:61" x14ac:dyDescent="0.25">
      <c r="A265" s="81" t="s">
        <v>148</v>
      </c>
      <c r="B265" s="48" t="s">
        <v>160</v>
      </c>
      <c r="C265" s="48" t="s">
        <v>160</v>
      </c>
      <c r="D265" s="48" t="s">
        <v>160</v>
      </c>
      <c r="E265" s="48" t="s">
        <v>160</v>
      </c>
      <c r="F265" s="50" t="s">
        <v>160</v>
      </c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48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</row>
    <row r="266" spans="1:61" x14ac:dyDescent="0.25">
      <c r="A266" s="81" t="s">
        <v>149</v>
      </c>
      <c r="B266" s="48">
        <v>36</v>
      </c>
      <c r="C266" s="48">
        <v>36</v>
      </c>
      <c r="D266" s="48">
        <v>35</v>
      </c>
      <c r="E266" s="48">
        <v>35</v>
      </c>
      <c r="F266" s="35">
        <v>35</v>
      </c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48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</row>
    <row r="267" spans="1:61" x14ac:dyDescent="0.25">
      <c r="A267" s="48" t="s">
        <v>150</v>
      </c>
      <c r="B267" s="6" t="s">
        <v>160</v>
      </c>
      <c r="C267" s="6" t="s">
        <v>160</v>
      </c>
      <c r="D267" s="6" t="s">
        <v>160</v>
      </c>
      <c r="E267" s="6" t="s">
        <v>160</v>
      </c>
      <c r="F267" s="50" t="s">
        <v>160</v>
      </c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48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</row>
    <row r="268" spans="1:61" x14ac:dyDescent="0.25">
      <c r="A268" s="81" t="s">
        <v>151</v>
      </c>
      <c r="B268" s="48">
        <v>11</v>
      </c>
      <c r="C268" s="48">
        <v>11</v>
      </c>
      <c r="D268" s="48">
        <v>11</v>
      </c>
      <c r="E268" s="48">
        <v>11</v>
      </c>
      <c r="F268" s="35">
        <v>11</v>
      </c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50"/>
      <c r="AP268" s="50"/>
      <c r="AQ268" s="50"/>
      <c r="AR268" s="50"/>
      <c r="AS268" s="50"/>
      <c r="AT268" s="51"/>
      <c r="AU268" s="50"/>
      <c r="AV268" s="50"/>
      <c r="AW268" s="50"/>
      <c r="AX268" s="50"/>
      <c r="AY268" s="50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</row>
    <row r="269" spans="1:61" x14ac:dyDescent="0.25">
      <c r="A269" s="48" t="s">
        <v>152</v>
      </c>
      <c r="B269" s="48">
        <v>2</v>
      </c>
      <c r="C269" s="48">
        <v>2</v>
      </c>
      <c r="D269" s="48">
        <v>2</v>
      </c>
      <c r="E269" s="48">
        <v>2</v>
      </c>
      <c r="F269" s="35">
        <v>2</v>
      </c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48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</row>
    <row r="270" spans="1:61" x14ac:dyDescent="0.25">
      <c r="A270" s="48" t="s">
        <v>153</v>
      </c>
      <c r="B270" s="48" t="s">
        <v>160</v>
      </c>
      <c r="C270" s="48" t="s">
        <v>160</v>
      </c>
      <c r="D270" s="48" t="s">
        <v>160</v>
      </c>
      <c r="E270" s="48" t="s">
        <v>160</v>
      </c>
      <c r="F270" s="50" t="s">
        <v>160</v>
      </c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48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</row>
    <row r="271" spans="1:61" x14ac:dyDescent="0.25">
      <c r="A271" s="48" t="s">
        <v>154</v>
      </c>
      <c r="B271" s="48">
        <v>1</v>
      </c>
      <c r="C271" s="48">
        <v>1</v>
      </c>
      <c r="D271" s="48">
        <v>1</v>
      </c>
      <c r="E271" s="48">
        <v>1</v>
      </c>
      <c r="F271" s="35">
        <v>1</v>
      </c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48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</row>
    <row r="272" spans="1:61" x14ac:dyDescent="0.25">
      <c r="A272" s="48" t="s">
        <v>155</v>
      </c>
      <c r="B272" s="48">
        <v>1</v>
      </c>
      <c r="C272" s="48">
        <v>1</v>
      </c>
      <c r="D272" s="48">
        <v>1</v>
      </c>
      <c r="E272" s="48">
        <v>1</v>
      </c>
      <c r="F272" s="35">
        <v>1</v>
      </c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48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</row>
    <row r="273" spans="1:61" x14ac:dyDescent="0.25">
      <c r="A273" s="48" t="s">
        <v>156</v>
      </c>
      <c r="B273" s="6" t="s">
        <v>160</v>
      </c>
      <c r="C273" s="6" t="s">
        <v>160</v>
      </c>
      <c r="D273" s="6" t="s">
        <v>160</v>
      </c>
      <c r="E273" s="6" t="s">
        <v>160</v>
      </c>
      <c r="F273" s="50" t="s">
        <v>160</v>
      </c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48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</row>
    <row r="274" spans="1:61" x14ac:dyDescent="0.25">
      <c r="A274" s="48" t="s">
        <v>157</v>
      </c>
      <c r="B274" s="6" t="s">
        <v>160</v>
      </c>
      <c r="C274" s="6" t="s">
        <v>160</v>
      </c>
      <c r="D274" s="6" t="s">
        <v>160</v>
      </c>
      <c r="E274" s="6" t="s">
        <v>160</v>
      </c>
      <c r="F274" s="60" t="s">
        <v>160</v>
      </c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50"/>
      <c r="AP274" s="50"/>
      <c r="AQ274" s="50"/>
      <c r="AR274" s="50"/>
      <c r="AS274" s="50"/>
      <c r="AT274" s="51"/>
      <c r="AU274" s="50"/>
      <c r="AV274" s="50"/>
      <c r="AW274" s="50"/>
      <c r="AX274" s="50"/>
      <c r="AY274" s="50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</row>
    <row r="275" spans="1:61" x14ac:dyDescent="0.25">
      <c r="A275" s="1" t="s">
        <v>158</v>
      </c>
      <c r="B275" s="2">
        <v>51</v>
      </c>
      <c r="C275" s="2">
        <v>51</v>
      </c>
      <c r="D275" s="2">
        <v>50</v>
      </c>
      <c r="E275" s="2">
        <v>50</v>
      </c>
      <c r="F275" s="35">
        <v>50</v>
      </c>
      <c r="G275" s="48"/>
      <c r="H275" s="51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48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</row>
  </sheetData>
  <pageMargins left="0.7" right="0.7" top="0.75" bottom="0.75" header="0.3" footer="0.3"/>
  <pageSetup orientation="portrait"/>
  <tableParts count="3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38"/>
  <sheetViews>
    <sheetView showGridLines="0" zoomScale="82" zoomScaleNormal="100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3" width="7.28515625" bestFit="1" customWidth="1"/>
    <col min="14" max="14" width="8" bestFit="1" customWidth="1"/>
    <col min="15" max="15" width="8.28515625" bestFit="1" customWidth="1"/>
    <col min="16" max="16" width="7.28515625" bestFit="1" customWidth="1"/>
    <col min="17" max="18" width="8.140625" bestFit="1" customWidth="1"/>
    <col min="19" max="19" width="8.28515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174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175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7.5899999999999995E-2</v>
      </c>
      <c r="O25" s="11"/>
      <c r="P25" s="12">
        <v>0.2878787878787879</v>
      </c>
      <c r="Q25" s="13">
        <v>0.17391304347826089</v>
      </c>
      <c r="R25" s="14">
        <v>7.3529411764705885E-2</v>
      </c>
      <c r="S25" s="31">
        <v>8.2191780821917804E-2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0.13700000000000001</v>
      </c>
      <c r="O26" s="15"/>
      <c r="P26" s="16">
        <v>0.33333333333333331</v>
      </c>
      <c r="Q26" s="17">
        <v>0.33333333333333331</v>
      </c>
      <c r="R26" s="18">
        <v>8.8235294117647065E-2</v>
      </c>
      <c r="S26" s="33">
        <v>0.20547945205479451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2">
        <v>0.1419</v>
      </c>
      <c r="O27" s="19">
        <v>0.29360000000000003</v>
      </c>
      <c r="P27" s="20">
        <v>0.37878787878787878</v>
      </c>
      <c r="Q27" s="21">
        <v>0.44927536231884058</v>
      </c>
      <c r="R27" s="22">
        <v>0.1470588235294118</v>
      </c>
      <c r="S27" s="34">
        <v>0.26027397260273971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0.3271</v>
      </c>
      <c r="P28" s="16">
        <v>0.42424242424242431</v>
      </c>
      <c r="Q28" s="17">
        <v>0.52173913043478259</v>
      </c>
      <c r="R28" s="18">
        <v>0.23529411764705879</v>
      </c>
      <c r="S28" s="33">
        <v>0.31506849315068491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0.3448</v>
      </c>
      <c r="P29" s="20">
        <v>0.45454545454545447</v>
      </c>
      <c r="Q29" s="21">
        <v>0.59420289855072461</v>
      </c>
      <c r="R29" s="22">
        <v>0.3235294117647059</v>
      </c>
      <c r="S29" s="34">
        <v>0.34246575342465752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0.4466</v>
      </c>
      <c r="P30" s="16">
        <v>0.53030303030303028</v>
      </c>
      <c r="Q30" s="17">
        <v>0.62318840579710144</v>
      </c>
      <c r="R30" s="18">
        <v>0.38235294117647062</v>
      </c>
      <c r="S30" s="33">
        <v>0.36986301369863012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0.52129999999999999</v>
      </c>
      <c r="P31" s="20">
        <v>0.66666666666666663</v>
      </c>
      <c r="Q31" s="21">
        <v>0.72463768115942029</v>
      </c>
      <c r="R31" s="22">
        <v>0.48529411764705882</v>
      </c>
      <c r="S31" s="34">
        <v>0.57534246575342463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0.61180000000000001</v>
      </c>
      <c r="P32" s="16">
        <v>0.78787878787878785</v>
      </c>
      <c r="Q32" s="17">
        <v>0.79710144927536231</v>
      </c>
      <c r="R32" s="18">
        <v>0.86764705882352944</v>
      </c>
      <c r="S32" s="33">
        <v>0.82191780821917804</v>
      </c>
    </row>
    <row r="33" spans="13:19" ht="19.5" customHeight="1" x14ac:dyDescent="0.25">
      <c r="M33" s="32" t="s">
        <v>19</v>
      </c>
      <c r="N33" s="10"/>
      <c r="O33" s="19">
        <v>0.8871</v>
      </c>
      <c r="P33" s="20">
        <v>0.89393939393939392</v>
      </c>
      <c r="Q33" s="21">
        <v>0.91304347826086951</v>
      </c>
      <c r="R33" s="22">
        <v>0.94117647058823528</v>
      </c>
      <c r="S33" s="34">
        <v>0.95890410958904104</v>
      </c>
    </row>
    <row r="34" spans="13:19" ht="19.5" customHeight="1" x14ac:dyDescent="0.25">
      <c r="M34" s="32" t="s">
        <v>20</v>
      </c>
      <c r="N34" s="10"/>
      <c r="O34" s="15">
        <v>0.96609999999999996</v>
      </c>
      <c r="P34" s="16">
        <v>0.96969696969696972</v>
      </c>
      <c r="Q34" s="17">
        <v>0.94202898550724634</v>
      </c>
      <c r="R34" s="18">
        <v>0.94117647058823528</v>
      </c>
      <c r="S34" s="33">
        <v>0.95890410958904104</v>
      </c>
    </row>
    <row r="35" spans="13:19" ht="19.5" customHeight="1" x14ac:dyDescent="0.25">
      <c r="M35" s="32" t="s">
        <v>21</v>
      </c>
      <c r="N35" s="10"/>
      <c r="O35" s="19">
        <v>1</v>
      </c>
      <c r="P35" s="20">
        <v>0.96969696969696972</v>
      </c>
      <c r="Q35" s="21">
        <v>0.98550724637681164</v>
      </c>
      <c r="R35" s="22">
        <v>0.95588235294117652</v>
      </c>
      <c r="S35" s="34">
        <v>1</v>
      </c>
    </row>
    <row r="36" spans="13:19" ht="19.5" customHeight="1" x14ac:dyDescent="0.25">
      <c r="M36" s="32" t="s">
        <v>22</v>
      </c>
      <c r="N36" s="10"/>
      <c r="O36" s="15">
        <v>1</v>
      </c>
      <c r="P36" s="16">
        <v>0.98484848484848486</v>
      </c>
      <c r="Q36" s="17">
        <v>0.98550724637681164</v>
      </c>
      <c r="R36" s="18">
        <v>1</v>
      </c>
      <c r="S36" s="33">
        <v>1</v>
      </c>
    </row>
    <row r="37" spans="13:19" ht="19.5" customHeight="1" x14ac:dyDescent="0.25">
      <c r="M37" s="32" t="s">
        <v>23</v>
      </c>
      <c r="N37" s="10"/>
      <c r="O37" s="19">
        <v>1</v>
      </c>
      <c r="P37" s="20">
        <v>0.98484848484848486</v>
      </c>
      <c r="Q37" s="21">
        <v>0.98550724637681164</v>
      </c>
      <c r="R37" s="22">
        <v>1</v>
      </c>
      <c r="S37" s="34">
        <v>1</v>
      </c>
    </row>
    <row r="38" spans="13:19" ht="19.5" customHeight="1" x14ac:dyDescent="0.25">
      <c r="M38" s="32" t="s">
        <v>24</v>
      </c>
      <c r="N38" s="10"/>
      <c r="O38" s="15">
        <v>1</v>
      </c>
      <c r="P38" s="16">
        <v>0.98484848484848486</v>
      </c>
      <c r="Q38" s="17">
        <v>0.98550724637681164</v>
      </c>
      <c r="R38" s="18">
        <v>1</v>
      </c>
      <c r="S38" s="33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38"/>
  <sheetViews>
    <sheetView showGridLines="0" zoomScale="86" zoomScaleNormal="93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6" width="7.28515625" bestFit="1" customWidth="1"/>
    <col min="17" max="18" width="8.140625" bestFit="1" customWidth="1"/>
    <col min="19" max="19" width="7.28515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176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177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4.2299999999999997E-2</v>
      </c>
      <c r="O25" s="11"/>
      <c r="P25" s="12">
        <v>0.08</v>
      </c>
      <c r="Q25" s="13">
        <v>6.25E-2</v>
      </c>
      <c r="R25" s="14">
        <v>6.1728395061728392E-2</v>
      </c>
      <c r="S25" s="31">
        <v>5.8823529411764712E-2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5.2600000000000001E-2</v>
      </c>
      <c r="O26" s="15"/>
      <c r="P26" s="16">
        <v>0.09</v>
      </c>
      <c r="Q26" s="17">
        <v>6.25E-2</v>
      </c>
      <c r="R26" s="18">
        <v>8.6419753086419748E-2</v>
      </c>
      <c r="S26" s="33">
        <v>7.3529411764705885E-2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2">
        <v>5.2600000000000001E-2</v>
      </c>
      <c r="O27" s="19">
        <v>0.12790000000000001</v>
      </c>
      <c r="P27" s="20">
        <v>0.1</v>
      </c>
      <c r="Q27" s="21">
        <v>6.25E-2</v>
      </c>
      <c r="R27" s="22">
        <v>0.1234567901234568</v>
      </c>
      <c r="S27" s="34">
        <v>0.1176470588235294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0.13769999999999999</v>
      </c>
      <c r="P28" s="16">
        <v>0.11</v>
      </c>
      <c r="Q28" s="17">
        <v>8.7499999999999994E-2</v>
      </c>
      <c r="R28" s="18">
        <v>0.16049382716049379</v>
      </c>
      <c r="S28" s="33">
        <v>0.13235294117647059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0.17680000000000001</v>
      </c>
      <c r="P29" s="20">
        <v>0.12</v>
      </c>
      <c r="Q29" s="21">
        <v>0.1125</v>
      </c>
      <c r="R29" s="22">
        <v>0.16049382716049379</v>
      </c>
      <c r="S29" s="34">
        <v>0.16176470588235289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0.18629999999999999</v>
      </c>
      <c r="P30" s="16">
        <v>0.2</v>
      </c>
      <c r="Q30" s="17">
        <v>0.25</v>
      </c>
      <c r="R30" s="18">
        <v>0.1728395061728395</v>
      </c>
      <c r="S30" s="33">
        <v>0.19117647058823531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0.19109999999999999</v>
      </c>
      <c r="P31" s="20">
        <v>0.24</v>
      </c>
      <c r="Q31" s="21">
        <v>0.28749999999999998</v>
      </c>
      <c r="R31" s="22">
        <v>0.1728395061728395</v>
      </c>
      <c r="S31" s="34">
        <v>0.23529411764705879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0.30919999999999997</v>
      </c>
      <c r="P32" s="16">
        <v>0.31</v>
      </c>
      <c r="Q32" s="17">
        <v>0.28749999999999998</v>
      </c>
      <c r="R32" s="18">
        <v>0.27160493827160492</v>
      </c>
      <c r="S32" s="33">
        <v>0.3235294117647059</v>
      </c>
    </row>
    <row r="33" spans="13:19" ht="19.5" customHeight="1" x14ac:dyDescent="0.25">
      <c r="M33" s="32" t="s">
        <v>19</v>
      </c>
      <c r="N33" s="10"/>
      <c r="O33" s="19">
        <v>0.53280000000000005</v>
      </c>
      <c r="P33" s="20">
        <v>0.44</v>
      </c>
      <c r="Q33" s="21">
        <v>0.65</v>
      </c>
      <c r="R33" s="22">
        <v>0.37037037037037029</v>
      </c>
      <c r="S33" s="34">
        <v>0.41176470588235292</v>
      </c>
    </row>
    <row r="34" spans="13:19" ht="19.5" customHeight="1" x14ac:dyDescent="0.25">
      <c r="M34" s="32" t="s">
        <v>20</v>
      </c>
      <c r="N34" s="10"/>
      <c r="O34" s="15">
        <v>0.67480000000000007</v>
      </c>
      <c r="P34" s="16">
        <v>0.51</v>
      </c>
      <c r="Q34" s="17">
        <v>0.6875</v>
      </c>
      <c r="R34" s="18">
        <v>0.4567901234567901</v>
      </c>
      <c r="S34" s="33">
        <v>0.52941176470588236</v>
      </c>
    </row>
    <row r="35" spans="13:19" ht="19.5" customHeight="1" x14ac:dyDescent="0.25">
      <c r="M35" s="32" t="s">
        <v>21</v>
      </c>
      <c r="N35" s="10"/>
      <c r="O35" s="19">
        <v>0.84209999999999996</v>
      </c>
      <c r="P35" s="20">
        <v>0.52</v>
      </c>
      <c r="Q35" s="21">
        <v>0.8</v>
      </c>
      <c r="R35" s="22">
        <v>0.51851851851851849</v>
      </c>
      <c r="S35" s="34">
        <v>0.57352941176470584</v>
      </c>
    </row>
    <row r="36" spans="13:19" ht="19.5" customHeight="1" x14ac:dyDescent="0.25">
      <c r="M36" s="32" t="s">
        <v>22</v>
      </c>
      <c r="N36" s="10"/>
      <c r="O36" s="15">
        <v>0.90180000000000005</v>
      </c>
      <c r="P36" s="16">
        <v>0.73</v>
      </c>
      <c r="Q36" s="17">
        <v>0.97499999999999998</v>
      </c>
      <c r="R36" s="18">
        <v>0.75308641975308643</v>
      </c>
      <c r="S36" s="33">
        <v>0.8970588235294118</v>
      </c>
    </row>
    <row r="37" spans="13:19" ht="19.5" customHeight="1" x14ac:dyDescent="0.25">
      <c r="M37" s="32" t="s">
        <v>23</v>
      </c>
      <c r="N37" s="10"/>
      <c r="O37" s="19">
        <v>0.93579999999999997</v>
      </c>
      <c r="P37" s="20">
        <v>0.79</v>
      </c>
      <c r="Q37" s="21">
        <v>0.97499999999999998</v>
      </c>
      <c r="R37" s="22">
        <v>0.79012345679012341</v>
      </c>
      <c r="S37" s="34">
        <v>0.92647058823529416</v>
      </c>
    </row>
    <row r="38" spans="13:19" ht="19.5" customHeight="1" x14ac:dyDescent="0.25">
      <c r="M38" s="32" t="s">
        <v>24</v>
      </c>
      <c r="N38" s="10"/>
      <c r="O38" s="15">
        <v>0.92730000000000001</v>
      </c>
      <c r="P38" s="16">
        <v>0.96</v>
      </c>
      <c r="Q38" s="17">
        <v>0.98750000000000004</v>
      </c>
      <c r="R38" s="18">
        <v>0.8271604938271605</v>
      </c>
      <c r="S38" s="33">
        <v>0.95588235294117652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S38"/>
  <sheetViews>
    <sheetView showGridLines="0" zoomScale="85" zoomScaleNormal="93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3" width="7.28515625" bestFit="1" customWidth="1"/>
    <col min="14" max="15" width="8" bestFit="1" customWidth="1"/>
    <col min="16" max="18" width="8.28515625" bestFit="1" customWidth="1"/>
    <col min="19" max="19" width="7.425781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178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179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0.19670000000000001</v>
      </c>
      <c r="O25" s="11"/>
      <c r="P25" s="12">
        <v>0.22727272727272729</v>
      </c>
      <c r="Q25" s="13">
        <v>0.16</v>
      </c>
      <c r="R25" s="14">
        <v>0.1875</v>
      </c>
      <c r="S25" s="31">
        <v>0.15789473684210531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0.2203</v>
      </c>
      <c r="O26" s="15"/>
      <c r="P26" s="16">
        <v>0.22727272727272729</v>
      </c>
      <c r="Q26" s="17">
        <v>0.16</v>
      </c>
      <c r="R26" s="18">
        <v>0.1875</v>
      </c>
      <c r="S26" s="33">
        <v>0.15789473684210531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2">
        <v>0.2203</v>
      </c>
      <c r="O27" s="19">
        <v>0.15870000000000001</v>
      </c>
      <c r="P27" s="20">
        <v>0.22727272727272729</v>
      </c>
      <c r="Q27" s="21">
        <v>0.2</v>
      </c>
      <c r="R27" s="22">
        <v>0.1875</v>
      </c>
      <c r="S27" s="34">
        <v>0.26315789473684209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0.1406</v>
      </c>
      <c r="P28" s="16">
        <v>0.22727272727272729</v>
      </c>
      <c r="Q28" s="17">
        <v>0.2</v>
      </c>
      <c r="R28" s="18">
        <v>0.25</v>
      </c>
      <c r="S28" s="33">
        <v>0.26315789473684209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0.1739</v>
      </c>
      <c r="P29" s="20">
        <v>0.22727272727272729</v>
      </c>
      <c r="Q29" s="21">
        <v>0.2</v>
      </c>
      <c r="R29" s="22">
        <v>0.25</v>
      </c>
      <c r="S29" s="34">
        <v>0.26315789473684209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0.22389999999999999</v>
      </c>
      <c r="P30" s="16">
        <v>0.40909090909090912</v>
      </c>
      <c r="Q30" s="17">
        <v>0.2</v>
      </c>
      <c r="R30" s="18">
        <v>0.25</v>
      </c>
      <c r="S30" s="33">
        <v>0.26315789473684209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0.2273</v>
      </c>
      <c r="P31" s="20">
        <v>0.45454545454545447</v>
      </c>
      <c r="Q31" s="21">
        <v>0.28000000000000003</v>
      </c>
      <c r="R31" s="22">
        <v>0.25</v>
      </c>
      <c r="S31" s="34">
        <v>0.26315789473684209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0.2424</v>
      </c>
      <c r="P32" s="16">
        <v>0.59090909090909094</v>
      </c>
      <c r="Q32" s="17">
        <v>0.32</v>
      </c>
      <c r="R32" s="18">
        <v>0.3125</v>
      </c>
      <c r="S32" s="33">
        <v>0.26315789473684209</v>
      </c>
    </row>
    <row r="33" spans="13:19" ht="19.5" customHeight="1" x14ac:dyDescent="0.25">
      <c r="M33" s="32" t="s">
        <v>19</v>
      </c>
      <c r="N33" s="10"/>
      <c r="O33" s="19">
        <v>0.28570000000000001</v>
      </c>
      <c r="P33" s="20">
        <v>0.59090909090909094</v>
      </c>
      <c r="Q33" s="21">
        <v>0.4</v>
      </c>
      <c r="R33" s="22">
        <v>0.375</v>
      </c>
      <c r="S33" s="34">
        <v>0.26315789473684209</v>
      </c>
    </row>
    <row r="34" spans="13:19" ht="19.5" customHeight="1" x14ac:dyDescent="0.25">
      <c r="M34" s="32" t="s">
        <v>20</v>
      </c>
      <c r="N34" s="10"/>
      <c r="O34" s="15">
        <v>0.35089999999999999</v>
      </c>
      <c r="P34" s="16">
        <v>0.63636363636363635</v>
      </c>
      <c r="Q34" s="17">
        <v>0.4</v>
      </c>
      <c r="R34" s="18">
        <v>0.8125</v>
      </c>
      <c r="S34" s="33">
        <v>0.26315789473684209</v>
      </c>
    </row>
    <row r="35" spans="13:19" ht="19.5" customHeight="1" x14ac:dyDescent="0.25">
      <c r="M35" s="32" t="s">
        <v>21</v>
      </c>
      <c r="N35" s="10"/>
      <c r="O35" s="19">
        <v>0.5333</v>
      </c>
      <c r="P35" s="20">
        <v>0.63636363636363635</v>
      </c>
      <c r="Q35" s="21">
        <v>0.4</v>
      </c>
      <c r="R35" s="22">
        <v>0.875</v>
      </c>
      <c r="S35" s="34">
        <v>0.31578947368421051</v>
      </c>
    </row>
    <row r="36" spans="13:19" ht="19.5" customHeight="1" x14ac:dyDescent="0.25">
      <c r="M36" s="32" t="s">
        <v>22</v>
      </c>
      <c r="N36" s="10"/>
      <c r="O36" s="15">
        <v>0.9</v>
      </c>
      <c r="P36" s="16">
        <v>0.68181818181818177</v>
      </c>
      <c r="Q36" s="17">
        <v>1</v>
      </c>
      <c r="R36" s="18">
        <v>0.875</v>
      </c>
      <c r="S36" s="33">
        <v>0.78947368421052633</v>
      </c>
    </row>
    <row r="37" spans="13:19" ht="19.5" customHeight="1" x14ac:dyDescent="0.25">
      <c r="M37" s="32" t="s">
        <v>23</v>
      </c>
      <c r="N37" s="10"/>
      <c r="O37" s="19">
        <v>1</v>
      </c>
      <c r="P37" s="20">
        <v>0.95454545454545459</v>
      </c>
      <c r="Q37" s="21">
        <v>1</v>
      </c>
      <c r="R37" s="22">
        <v>0.875</v>
      </c>
      <c r="S37" s="34">
        <v>0.78947368421052633</v>
      </c>
    </row>
    <row r="38" spans="13:19" ht="19.5" customHeight="1" x14ac:dyDescent="0.25">
      <c r="M38" s="32" t="s">
        <v>24</v>
      </c>
      <c r="N38" s="10"/>
      <c r="O38" s="15">
        <v>1</v>
      </c>
      <c r="P38" s="16">
        <v>0.95454545454545459</v>
      </c>
      <c r="Q38" s="17">
        <v>1</v>
      </c>
      <c r="R38" s="18">
        <v>0.875</v>
      </c>
      <c r="S38" s="33">
        <v>0.78947368421052633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S38"/>
  <sheetViews>
    <sheetView showGridLines="0" zoomScale="85" zoomScaleNormal="85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3" width="7.28515625" bestFit="1" customWidth="1"/>
    <col min="14" max="14" width="8" bestFit="1" customWidth="1"/>
    <col min="15" max="15" width="7.28515625" bestFit="1" customWidth="1"/>
    <col min="16" max="18" width="8.140625" bestFit="1" customWidth="1"/>
    <col min="19" max="19" width="7.28515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180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181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0.1103</v>
      </c>
      <c r="O25" s="11"/>
      <c r="P25" s="12">
        <v>7.8787878787878782E-2</v>
      </c>
      <c r="Q25" s="13">
        <v>6.4705882352941183E-2</v>
      </c>
      <c r="R25" s="14">
        <v>0.1097560975609756</v>
      </c>
      <c r="S25" s="31">
        <v>0.16770186335403731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0.23880000000000001</v>
      </c>
      <c r="O26" s="15"/>
      <c r="P26" s="16">
        <v>0.14545454545454539</v>
      </c>
      <c r="Q26" s="17">
        <v>0.1058823529411765</v>
      </c>
      <c r="R26" s="18">
        <v>0.14634146341463411</v>
      </c>
      <c r="S26" s="33">
        <v>0.2608695652173913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3">
        <v>0.26889999999999997</v>
      </c>
      <c r="O27" s="19">
        <v>0.2989</v>
      </c>
      <c r="P27" s="20">
        <v>0.38787878787878788</v>
      </c>
      <c r="Q27" s="21">
        <v>0.31764705882352939</v>
      </c>
      <c r="R27" s="22">
        <v>0.28048780487804881</v>
      </c>
      <c r="S27" s="34">
        <v>0.36645962732919263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0.42509999999999998</v>
      </c>
      <c r="P28" s="16">
        <v>0.45454545454545447</v>
      </c>
      <c r="Q28" s="17">
        <v>0.35882352941176471</v>
      </c>
      <c r="R28" s="18">
        <v>0.53048780487804881</v>
      </c>
      <c r="S28" s="33">
        <v>0.43478260869565222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0.53649999999999998</v>
      </c>
      <c r="P29" s="20">
        <v>0.50303030303030305</v>
      </c>
      <c r="Q29" s="21">
        <v>0.42352941176470588</v>
      </c>
      <c r="R29" s="22">
        <v>0.54268292682926833</v>
      </c>
      <c r="S29" s="34">
        <v>0.48447204968944102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0.62450000000000006</v>
      </c>
      <c r="P30" s="16">
        <v>0.5757575757575758</v>
      </c>
      <c r="Q30" s="17">
        <v>0.54705882352941182</v>
      </c>
      <c r="R30" s="18">
        <v>0.58536585365853655</v>
      </c>
      <c r="S30" s="33">
        <v>0.52795031055900621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0.69330000000000003</v>
      </c>
      <c r="P31" s="20">
        <v>0.61212121212121207</v>
      </c>
      <c r="Q31" s="21">
        <v>0.62941176470588234</v>
      </c>
      <c r="R31" s="22">
        <v>0.67682926829268297</v>
      </c>
      <c r="S31" s="34">
        <v>0.70807453416149069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0.7944</v>
      </c>
      <c r="P32" s="16">
        <v>0.68484848484848482</v>
      </c>
      <c r="Q32" s="17">
        <v>0.71176470588235297</v>
      </c>
      <c r="R32" s="18">
        <v>0.75609756097560976</v>
      </c>
      <c r="S32" s="33">
        <v>0.81366459627329191</v>
      </c>
    </row>
    <row r="33" spans="13:19" ht="19.5" customHeight="1" x14ac:dyDescent="0.25">
      <c r="M33" s="32" t="s">
        <v>19</v>
      </c>
      <c r="N33" s="10"/>
      <c r="O33" s="19">
        <v>0.88349999999999995</v>
      </c>
      <c r="P33" s="20">
        <v>0.80606060606060603</v>
      </c>
      <c r="Q33" s="21">
        <v>0.77058823529411768</v>
      </c>
      <c r="R33" s="22">
        <v>0.80487804878048785</v>
      </c>
      <c r="S33" s="34">
        <v>0.86956521739130432</v>
      </c>
    </row>
    <row r="34" spans="13:19" ht="19.5" customHeight="1" x14ac:dyDescent="0.25">
      <c r="M34" s="32" t="s">
        <v>20</v>
      </c>
      <c r="N34" s="10"/>
      <c r="O34" s="15">
        <v>0.9104000000000001</v>
      </c>
      <c r="P34" s="16">
        <v>0.87878787878787878</v>
      </c>
      <c r="Q34" s="17">
        <v>0.8294117647058824</v>
      </c>
      <c r="R34" s="18">
        <v>0.83536585365853655</v>
      </c>
      <c r="S34" s="33">
        <v>0.90683229813664601</v>
      </c>
    </row>
    <row r="35" spans="13:19" ht="19.5" customHeight="1" x14ac:dyDescent="0.25">
      <c r="M35" s="32" t="s">
        <v>21</v>
      </c>
      <c r="N35" s="10"/>
      <c r="O35" s="19">
        <v>0.93230000000000002</v>
      </c>
      <c r="P35" s="20">
        <v>0.89090909090909087</v>
      </c>
      <c r="Q35" s="21">
        <v>0.88823529411764701</v>
      </c>
      <c r="R35" s="22">
        <v>0.89634146341463417</v>
      </c>
      <c r="S35" s="34">
        <v>0.93788819875776397</v>
      </c>
    </row>
    <row r="36" spans="13:19" ht="19.5" customHeight="1" x14ac:dyDescent="0.25">
      <c r="M36" s="32" t="s">
        <v>22</v>
      </c>
      <c r="N36" s="10"/>
      <c r="O36" s="15">
        <v>0.96840000000000004</v>
      </c>
      <c r="P36" s="16">
        <v>0.96363636363636362</v>
      </c>
      <c r="Q36" s="17">
        <v>0.95882352941176474</v>
      </c>
      <c r="R36" s="18">
        <v>0.95731707317073167</v>
      </c>
      <c r="S36" s="33">
        <v>0.97515527950310554</v>
      </c>
    </row>
    <row r="37" spans="13:19" ht="19.5" customHeight="1" x14ac:dyDescent="0.25">
      <c r="M37" s="32" t="s">
        <v>23</v>
      </c>
      <c r="N37" s="10"/>
      <c r="O37" s="19">
        <v>0.96840000000000004</v>
      </c>
      <c r="P37" s="20">
        <v>0.96363636363636362</v>
      </c>
      <c r="Q37" s="21">
        <v>0.97647058823529409</v>
      </c>
      <c r="R37" s="22">
        <v>0.96951219512195119</v>
      </c>
      <c r="S37" s="34">
        <v>0.97515527950310554</v>
      </c>
    </row>
    <row r="38" spans="13:19" ht="19.5" customHeight="1" x14ac:dyDescent="0.25">
      <c r="M38" s="32" t="s">
        <v>24</v>
      </c>
      <c r="N38" s="10"/>
      <c r="O38" s="15">
        <v>0.96840000000000004</v>
      </c>
      <c r="P38" s="16">
        <v>0.97575757575757571</v>
      </c>
      <c r="Q38" s="17">
        <v>0.97647058823529409</v>
      </c>
      <c r="R38" s="18">
        <v>0.98170731707317072</v>
      </c>
      <c r="S38" s="33">
        <v>0.97515527950310554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S38"/>
  <sheetViews>
    <sheetView showGridLines="0" zoomScale="93" zoomScaleNormal="93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5" width="7.28515625" bestFit="1" customWidth="1"/>
    <col min="16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182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183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0.1187</v>
      </c>
      <c r="O25" s="11"/>
      <c r="P25" s="12">
        <v>0.1171171171171171</v>
      </c>
      <c r="Q25" s="13">
        <v>0.15384615384615391</v>
      </c>
      <c r="R25" s="14">
        <v>0.18055555555555561</v>
      </c>
      <c r="S25" s="31">
        <v>0.189873417721519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0.1739</v>
      </c>
      <c r="O26" s="15"/>
      <c r="P26" s="16">
        <v>0.1171171171171171</v>
      </c>
      <c r="Q26" s="17">
        <v>0.28846153846153838</v>
      </c>
      <c r="R26" s="18">
        <v>0.2361111111111111</v>
      </c>
      <c r="S26" s="33">
        <v>0.39240506329113922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2">
        <v>0.18629999999999999</v>
      </c>
      <c r="O27" s="19">
        <v>0.2361</v>
      </c>
      <c r="P27" s="20">
        <v>0.15315315315315309</v>
      </c>
      <c r="Q27" s="21">
        <v>0.375</v>
      </c>
      <c r="R27" s="22">
        <v>0.43055555555555558</v>
      </c>
      <c r="S27" s="34">
        <v>0.55696202531645567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0.27779999999999999</v>
      </c>
      <c r="P28" s="16">
        <v>0.34234234234234229</v>
      </c>
      <c r="Q28" s="17">
        <v>0.46153846153846162</v>
      </c>
      <c r="R28" s="18">
        <v>0.61111111111111116</v>
      </c>
      <c r="S28" s="33">
        <v>0.69620253164556967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0.36730000000000002</v>
      </c>
      <c r="P29" s="20">
        <v>0.36936936936936943</v>
      </c>
      <c r="Q29" s="21">
        <v>0.50961538461538458</v>
      </c>
      <c r="R29" s="22">
        <v>0.68055555555555558</v>
      </c>
      <c r="S29" s="34">
        <v>0.78481012658227844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0.46479999999999999</v>
      </c>
      <c r="P30" s="16">
        <v>0.45945945945945948</v>
      </c>
      <c r="Q30" s="17">
        <v>0.66346153846153844</v>
      </c>
      <c r="R30" s="18">
        <v>0.70833333333333337</v>
      </c>
      <c r="S30" s="33">
        <v>0.810126582278481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0.54010000000000002</v>
      </c>
      <c r="P31" s="20">
        <v>0.51351351351351349</v>
      </c>
      <c r="Q31" s="21">
        <v>0.74038461538461542</v>
      </c>
      <c r="R31" s="22">
        <v>0.72222222222222221</v>
      </c>
      <c r="S31" s="34">
        <v>0.87341772151898733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0.61760000000000004</v>
      </c>
      <c r="P32" s="16">
        <v>0.6216216216216216</v>
      </c>
      <c r="Q32" s="17">
        <v>0.80769230769230771</v>
      </c>
      <c r="R32" s="18">
        <v>0.875</v>
      </c>
      <c r="S32" s="33">
        <v>0.91139240506329111</v>
      </c>
    </row>
    <row r="33" spans="13:19" ht="19.5" customHeight="1" x14ac:dyDescent="0.25">
      <c r="M33" s="32" t="s">
        <v>19</v>
      </c>
      <c r="N33" s="10"/>
      <c r="O33" s="19">
        <v>0.79369999999999996</v>
      </c>
      <c r="P33" s="20">
        <v>0.7927927927927928</v>
      </c>
      <c r="Q33" s="21">
        <v>0.84615384615384615</v>
      </c>
      <c r="R33" s="22">
        <v>0.90277777777777779</v>
      </c>
      <c r="S33" s="34">
        <v>0.97468354430379744</v>
      </c>
    </row>
    <row r="34" spans="13:19" ht="19.5" customHeight="1" x14ac:dyDescent="0.25">
      <c r="M34" s="32" t="s">
        <v>20</v>
      </c>
      <c r="N34" s="10"/>
      <c r="O34" s="15">
        <v>0.84</v>
      </c>
      <c r="P34" s="16">
        <v>0.81081081081081086</v>
      </c>
      <c r="Q34" s="17">
        <v>0.89423076923076927</v>
      </c>
      <c r="R34" s="18">
        <v>0.91666666666666663</v>
      </c>
      <c r="S34" s="33">
        <v>0.98734177215189878</v>
      </c>
    </row>
    <row r="35" spans="13:19" ht="19.5" customHeight="1" x14ac:dyDescent="0.25">
      <c r="M35" s="32" t="s">
        <v>21</v>
      </c>
      <c r="N35" s="10"/>
      <c r="O35" s="19">
        <v>0.91670000000000007</v>
      </c>
      <c r="P35" s="20">
        <v>0.86486486486486491</v>
      </c>
      <c r="Q35" s="21">
        <v>0.92307692307692313</v>
      </c>
      <c r="R35" s="22">
        <v>0.95833333333333337</v>
      </c>
      <c r="S35" s="34">
        <v>1</v>
      </c>
    </row>
    <row r="36" spans="13:19" ht="19.5" customHeight="1" x14ac:dyDescent="0.25">
      <c r="M36" s="32" t="s">
        <v>22</v>
      </c>
      <c r="N36" s="10"/>
      <c r="O36" s="15">
        <v>0.94920000000000004</v>
      </c>
      <c r="P36" s="16">
        <v>0.92792792792792789</v>
      </c>
      <c r="Q36" s="17">
        <v>0.94230769230769229</v>
      </c>
      <c r="R36" s="18">
        <v>0.97222222222222221</v>
      </c>
      <c r="S36" s="33">
        <v>1</v>
      </c>
    </row>
    <row r="37" spans="13:19" ht="19.5" customHeight="1" x14ac:dyDescent="0.25">
      <c r="M37" s="32" t="s">
        <v>23</v>
      </c>
      <c r="N37" s="10"/>
      <c r="O37" s="19">
        <v>0.96609999999999996</v>
      </c>
      <c r="P37" s="20">
        <v>0.92792792792792789</v>
      </c>
      <c r="Q37" s="21">
        <v>0.94230769230769229</v>
      </c>
      <c r="R37" s="22">
        <v>0.98611111111111116</v>
      </c>
      <c r="S37" s="34">
        <v>1</v>
      </c>
    </row>
    <row r="38" spans="13:19" ht="19.5" customHeight="1" x14ac:dyDescent="0.25">
      <c r="M38" s="32" t="s">
        <v>24</v>
      </c>
      <c r="N38" s="10"/>
      <c r="O38" s="15">
        <v>0.97319999999999995</v>
      </c>
      <c r="P38" s="16">
        <v>0.963963963963964</v>
      </c>
      <c r="Q38" s="17">
        <v>0.95192307692307687</v>
      </c>
      <c r="R38" s="18">
        <v>0.98611111111111116</v>
      </c>
      <c r="S38" s="33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S38"/>
  <sheetViews>
    <sheetView showGridLines="0" zoomScale="90" zoomScaleNormal="90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5" width="7.28515625" bestFit="1" customWidth="1"/>
    <col min="16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184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185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0.05</v>
      </c>
      <c r="O25" s="11"/>
      <c r="P25" s="12">
        <v>0.16279069767441859</v>
      </c>
      <c r="Q25" s="13">
        <v>0.1136363636363636</v>
      </c>
      <c r="R25" s="14">
        <v>2.3809523809523812E-2</v>
      </c>
      <c r="S25" s="31">
        <v>0.12195121951219511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9.64E-2</v>
      </c>
      <c r="O26" s="15"/>
      <c r="P26" s="16">
        <v>0.186046511627907</v>
      </c>
      <c r="Q26" s="17">
        <v>0.13636363636363641</v>
      </c>
      <c r="R26" s="18">
        <v>2.3809523809523812E-2</v>
      </c>
      <c r="S26" s="33">
        <v>0.12195121951219511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2">
        <v>0.1205</v>
      </c>
      <c r="O27" s="19">
        <v>0.1515</v>
      </c>
      <c r="P27" s="20">
        <v>0.23255813953488369</v>
      </c>
      <c r="Q27" s="21">
        <v>0.15909090909090909</v>
      </c>
      <c r="R27" s="22">
        <v>7.1428571428571425E-2</v>
      </c>
      <c r="S27" s="34">
        <v>0.24390243902439021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0.18179999999999999</v>
      </c>
      <c r="P28" s="16">
        <v>0.23255813953488369</v>
      </c>
      <c r="Q28" s="17">
        <v>0.27272727272727271</v>
      </c>
      <c r="R28" s="18">
        <v>7.1428571428571425E-2</v>
      </c>
      <c r="S28" s="33">
        <v>0.29268292682926828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0.24640000000000001</v>
      </c>
      <c r="P29" s="20">
        <v>0.2558139534883721</v>
      </c>
      <c r="Q29" s="21">
        <v>0.31818181818181818</v>
      </c>
      <c r="R29" s="22">
        <v>0.14285714285714279</v>
      </c>
      <c r="S29" s="34">
        <v>0.29268292682926828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0.31879999999999997</v>
      </c>
      <c r="P30" s="16">
        <v>0.46511627906976738</v>
      </c>
      <c r="Q30" s="17">
        <v>0.31818181818181818</v>
      </c>
      <c r="R30" s="18">
        <v>0.14285714285714279</v>
      </c>
      <c r="S30" s="33">
        <v>0.31707317073170732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0.34329999999999999</v>
      </c>
      <c r="P31" s="20">
        <v>0.51162790697674421</v>
      </c>
      <c r="Q31" s="21">
        <v>0.31818181818181818</v>
      </c>
      <c r="R31" s="22">
        <v>0.19047619047619049</v>
      </c>
      <c r="S31" s="34">
        <v>0.3902439024390244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0.37309999999999999</v>
      </c>
      <c r="P32" s="16">
        <v>0.58139534883720934</v>
      </c>
      <c r="Q32" s="17">
        <v>0.36363636363636359</v>
      </c>
      <c r="R32" s="18">
        <v>0.19047619047619049</v>
      </c>
      <c r="S32" s="33">
        <v>0.43902439024390238</v>
      </c>
    </row>
    <row r="33" spans="13:19" ht="19.5" customHeight="1" x14ac:dyDescent="0.25">
      <c r="M33" s="32" t="s">
        <v>19</v>
      </c>
      <c r="N33" s="10"/>
      <c r="O33" s="19">
        <v>0.51559999999999995</v>
      </c>
      <c r="P33" s="20">
        <v>0.58139534883720934</v>
      </c>
      <c r="Q33" s="21">
        <v>0.38636363636363641</v>
      </c>
      <c r="R33" s="22">
        <v>0.19047619047619049</v>
      </c>
      <c r="S33" s="34">
        <v>0.48780487804878048</v>
      </c>
    </row>
    <row r="34" spans="13:19" ht="19.5" customHeight="1" x14ac:dyDescent="0.25">
      <c r="M34" s="32" t="s">
        <v>20</v>
      </c>
      <c r="N34" s="10"/>
      <c r="O34" s="15">
        <v>0.629</v>
      </c>
      <c r="P34" s="16">
        <v>0.58139534883720934</v>
      </c>
      <c r="Q34" s="17">
        <v>0.43181818181818182</v>
      </c>
      <c r="R34" s="18">
        <v>1</v>
      </c>
      <c r="S34" s="33">
        <v>0.48780487804878048</v>
      </c>
    </row>
    <row r="35" spans="13:19" ht="19.5" customHeight="1" x14ac:dyDescent="0.25">
      <c r="M35" s="32" t="s">
        <v>21</v>
      </c>
      <c r="N35" s="10"/>
      <c r="O35" s="19">
        <v>0.68849999999999989</v>
      </c>
      <c r="P35" s="20">
        <v>0.60465116279069764</v>
      </c>
      <c r="Q35" s="21">
        <v>0.47727272727272729</v>
      </c>
      <c r="R35" s="22">
        <v>1</v>
      </c>
      <c r="S35" s="34">
        <v>0.65853658536585369</v>
      </c>
    </row>
    <row r="36" spans="13:19" ht="19.5" customHeight="1" x14ac:dyDescent="0.25">
      <c r="M36" s="32" t="s">
        <v>22</v>
      </c>
      <c r="N36" s="10"/>
      <c r="O36" s="15">
        <v>0.9123</v>
      </c>
      <c r="P36" s="16">
        <v>0.62790697674418605</v>
      </c>
      <c r="Q36" s="17">
        <v>0.95454545454545459</v>
      </c>
      <c r="R36" s="18">
        <v>1</v>
      </c>
      <c r="S36" s="33">
        <v>1</v>
      </c>
    </row>
    <row r="37" spans="13:19" ht="19.5" customHeight="1" x14ac:dyDescent="0.25">
      <c r="M37" s="32" t="s">
        <v>23</v>
      </c>
      <c r="N37" s="10"/>
      <c r="O37" s="19">
        <v>0.91069999999999995</v>
      </c>
      <c r="P37" s="20">
        <v>0.97674418604651159</v>
      </c>
      <c r="Q37" s="21">
        <v>0.95454545454545459</v>
      </c>
      <c r="R37" s="22">
        <v>1</v>
      </c>
      <c r="S37" s="34">
        <v>1</v>
      </c>
    </row>
    <row r="38" spans="13:19" ht="19.5" customHeight="1" x14ac:dyDescent="0.25">
      <c r="M38" s="32" t="s">
        <v>24</v>
      </c>
      <c r="N38" s="10"/>
      <c r="O38" s="15">
        <v>0.90910000000000002</v>
      </c>
      <c r="P38" s="16">
        <v>0.97674418604651159</v>
      </c>
      <c r="Q38" s="17">
        <v>0.95454545454545459</v>
      </c>
      <c r="R38" s="18">
        <v>1</v>
      </c>
      <c r="S38" s="33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S38"/>
  <sheetViews>
    <sheetView showGridLines="0" zoomScale="83" zoomScaleNormal="83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5" width="7.28515625" bestFit="1" customWidth="1"/>
    <col min="16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186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187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0.1409</v>
      </c>
      <c r="O25" s="11"/>
      <c r="P25" s="12">
        <v>0.04</v>
      </c>
      <c r="Q25" s="13">
        <v>7.0588235294117646E-2</v>
      </c>
      <c r="R25" s="14">
        <v>6.8181818181818177E-2</v>
      </c>
      <c r="S25" s="31">
        <v>2.564102564102564E-2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0.1835</v>
      </c>
      <c r="O26" s="15"/>
      <c r="P26" s="16">
        <v>0.06</v>
      </c>
      <c r="Q26" s="17">
        <v>0.1176470588235294</v>
      </c>
      <c r="R26" s="18">
        <v>0.13636363636363641</v>
      </c>
      <c r="S26" s="33">
        <v>5.128205128205128E-2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2">
        <v>0.1835</v>
      </c>
      <c r="O27" s="19">
        <v>0.22639999999999999</v>
      </c>
      <c r="P27" s="20">
        <v>0.1</v>
      </c>
      <c r="Q27" s="21">
        <v>0.1764705882352941</v>
      </c>
      <c r="R27" s="22">
        <v>0.1818181818181818</v>
      </c>
      <c r="S27" s="34">
        <v>0.1153846153846154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0.30070000000000002</v>
      </c>
      <c r="P28" s="16">
        <v>0.12</v>
      </c>
      <c r="Q28" s="17">
        <v>0.18823529411764711</v>
      </c>
      <c r="R28" s="18">
        <v>0.26136363636363641</v>
      </c>
      <c r="S28" s="33">
        <v>0.24358974358974361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0.33800000000000002</v>
      </c>
      <c r="P29" s="20">
        <v>0.17</v>
      </c>
      <c r="Q29" s="21">
        <v>0.22352941176470589</v>
      </c>
      <c r="R29" s="22">
        <v>0.28409090909090912</v>
      </c>
      <c r="S29" s="34">
        <v>0.29487179487179488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0.4234</v>
      </c>
      <c r="P30" s="16">
        <v>0.27</v>
      </c>
      <c r="Q30" s="17">
        <v>0.31764705882352939</v>
      </c>
      <c r="R30" s="18">
        <v>0.29545454545454553</v>
      </c>
      <c r="S30" s="33">
        <v>0.38461538461538458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0.53910000000000002</v>
      </c>
      <c r="P31" s="20">
        <v>0.32</v>
      </c>
      <c r="Q31" s="21">
        <v>0.41176470588235292</v>
      </c>
      <c r="R31" s="22">
        <v>0.31818181818181818</v>
      </c>
      <c r="S31" s="34">
        <v>0.41025641025641019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0.63029999999999997</v>
      </c>
      <c r="P32" s="16">
        <v>0.44</v>
      </c>
      <c r="Q32" s="17">
        <v>0.45882352941176469</v>
      </c>
      <c r="R32" s="18">
        <v>0.39772727272727271</v>
      </c>
      <c r="S32" s="33">
        <v>0.47435897435897428</v>
      </c>
    </row>
    <row r="33" spans="13:19" ht="19.5" customHeight="1" x14ac:dyDescent="0.25">
      <c r="M33" s="32" t="s">
        <v>19</v>
      </c>
      <c r="N33" s="10"/>
      <c r="O33" s="19">
        <v>0.69169999999999998</v>
      </c>
      <c r="P33" s="20">
        <v>0.55000000000000004</v>
      </c>
      <c r="Q33" s="21">
        <v>0.49411764705882361</v>
      </c>
      <c r="R33" s="22">
        <v>0.43181818181818182</v>
      </c>
      <c r="S33" s="34">
        <v>0.5641025641025641</v>
      </c>
    </row>
    <row r="34" spans="13:19" ht="19.5" customHeight="1" x14ac:dyDescent="0.25">
      <c r="M34" s="32" t="s">
        <v>20</v>
      </c>
      <c r="N34" s="10"/>
      <c r="O34" s="15">
        <v>0.79819999999999991</v>
      </c>
      <c r="P34" s="16">
        <v>0.77</v>
      </c>
      <c r="Q34" s="17">
        <v>0.50588235294117645</v>
      </c>
      <c r="R34" s="18">
        <v>0.61363636363636365</v>
      </c>
      <c r="S34" s="33">
        <v>0.61538461538461542</v>
      </c>
    </row>
    <row r="35" spans="13:19" ht="19.5" customHeight="1" x14ac:dyDescent="0.25">
      <c r="M35" s="32" t="s">
        <v>21</v>
      </c>
      <c r="N35" s="10"/>
      <c r="O35" s="19">
        <v>0.84109999999999996</v>
      </c>
      <c r="P35" s="20">
        <v>0.84</v>
      </c>
      <c r="Q35" s="21">
        <v>0.52941176470588236</v>
      </c>
      <c r="R35" s="22">
        <v>0.75</v>
      </c>
      <c r="S35" s="34">
        <v>0.69230769230769229</v>
      </c>
    </row>
    <row r="36" spans="13:19" ht="19.5" customHeight="1" x14ac:dyDescent="0.25">
      <c r="M36" s="32" t="s">
        <v>22</v>
      </c>
      <c r="N36" s="10"/>
      <c r="O36" s="15">
        <v>0.89319999999999988</v>
      </c>
      <c r="P36" s="16">
        <v>0.88</v>
      </c>
      <c r="Q36" s="17">
        <v>0.70588235294117652</v>
      </c>
      <c r="R36" s="18">
        <v>0.89772727272727271</v>
      </c>
      <c r="S36" s="33">
        <v>0.91025641025641024</v>
      </c>
    </row>
    <row r="37" spans="13:19" ht="19.5" customHeight="1" x14ac:dyDescent="0.25">
      <c r="M37" s="32" t="s">
        <v>23</v>
      </c>
      <c r="N37" s="10"/>
      <c r="O37" s="19">
        <v>0.90200000000000002</v>
      </c>
      <c r="P37" s="20">
        <v>0.91</v>
      </c>
      <c r="Q37" s="21">
        <v>0.74117647058823533</v>
      </c>
      <c r="R37" s="22">
        <v>0.90909090909090906</v>
      </c>
      <c r="S37" s="34">
        <v>0.92307692307692313</v>
      </c>
    </row>
    <row r="38" spans="13:19" ht="19.5" customHeight="1" x14ac:dyDescent="0.25">
      <c r="M38" s="32" t="s">
        <v>24</v>
      </c>
      <c r="N38" s="10"/>
      <c r="O38" s="15">
        <v>0.91090000000000004</v>
      </c>
      <c r="P38" s="16">
        <v>0.92</v>
      </c>
      <c r="Q38" s="17">
        <v>0.74117647058823533</v>
      </c>
      <c r="R38" s="18">
        <v>0.90909090909090906</v>
      </c>
      <c r="S38" s="33">
        <v>0.92307692307692313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S38"/>
  <sheetViews>
    <sheetView showGridLines="0" zoomScale="92" zoomScaleNormal="96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4" width="7.28515625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188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189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0.1158</v>
      </c>
      <c r="O25" s="11"/>
      <c r="P25" s="12">
        <v>0.1111111111111111</v>
      </c>
      <c r="Q25" s="13">
        <v>0.23809523809523811</v>
      </c>
      <c r="R25" s="14">
        <v>0.16666666666666671</v>
      </c>
      <c r="S25" s="31">
        <v>0.2105263157894737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0.19570000000000001</v>
      </c>
      <c r="O26" s="15"/>
      <c r="P26" s="16">
        <v>0.16666666666666671</v>
      </c>
      <c r="Q26" s="17">
        <v>0.23809523809523811</v>
      </c>
      <c r="R26" s="18">
        <v>0.20833333333333329</v>
      </c>
      <c r="S26" s="33">
        <v>0.2105263157894737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4">
        <v>0.20430000000000001</v>
      </c>
      <c r="O27" s="19">
        <v>0.2319</v>
      </c>
      <c r="P27" s="20">
        <v>0.16666666666666671</v>
      </c>
      <c r="Q27" s="21">
        <v>0.2857142857142857</v>
      </c>
      <c r="R27" s="22">
        <v>0.20833333333333329</v>
      </c>
      <c r="S27" s="34">
        <v>0.2105263157894737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0.2727</v>
      </c>
      <c r="P28" s="16">
        <v>0.16666666666666671</v>
      </c>
      <c r="Q28" s="17">
        <v>0.33333333333333331</v>
      </c>
      <c r="R28" s="18">
        <v>0.20833333333333329</v>
      </c>
      <c r="S28" s="33">
        <v>0.26315789473684209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0.28789999999999999</v>
      </c>
      <c r="P29" s="20">
        <v>0.22222222222222221</v>
      </c>
      <c r="Q29" s="21">
        <v>0.33333333333333331</v>
      </c>
      <c r="R29" s="22">
        <v>0.20833333333333329</v>
      </c>
      <c r="S29" s="34">
        <v>0.47368421052631582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0.36509999999999998</v>
      </c>
      <c r="P30" s="16">
        <v>0.3888888888888889</v>
      </c>
      <c r="Q30" s="17">
        <v>0.52380952380952384</v>
      </c>
      <c r="R30" s="18">
        <v>0.25</v>
      </c>
      <c r="S30" s="33">
        <v>0.52631578947368418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0.36065573770491799</v>
      </c>
      <c r="P31" s="20">
        <v>0.3888888888888889</v>
      </c>
      <c r="Q31" s="21">
        <v>0.61904761904761907</v>
      </c>
      <c r="R31" s="22">
        <v>0.29166666666666669</v>
      </c>
      <c r="S31" s="34">
        <v>0.73684210526315785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0.44230000000000003</v>
      </c>
      <c r="P32" s="16">
        <v>0.61111111111111116</v>
      </c>
      <c r="Q32" s="17">
        <v>0.7142857142857143</v>
      </c>
      <c r="R32" s="18">
        <v>0.33333333333333331</v>
      </c>
      <c r="S32" s="33">
        <v>0.84210526315789469</v>
      </c>
    </row>
    <row r="33" spans="13:19" ht="19.5" customHeight="1" x14ac:dyDescent="0.25">
      <c r="M33" s="32" t="s">
        <v>19</v>
      </c>
      <c r="N33" s="10"/>
      <c r="O33" s="19">
        <v>0.52270000000000005</v>
      </c>
      <c r="P33" s="20">
        <v>0.61111111111111116</v>
      </c>
      <c r="Q33" s="21">
        <v>0.80952380952380953</v>
      </c>
      <c r="R33" s="22">
        <v>0.625</v>
      </c>
      <c r="S33" s="34">
        <v>1</v>
      </c>
    </row>
    <row r="34" spans="13:19" ht="19.5" customHeight="1" x14ac:dyDescent="0.25">
      <c r="M34" s="32" t="s">
        <v>20</v>
      </c>
      <c r="N34" s="10"/>
      <c r="O34" s="15">
        <v>0.64290000000000003</v>
      </c>
      <c r="P34" s="16">
        <v>0.61111111111111116</v>
      </c>
      <c r="Q34" s="17">
        <v>0.95238095238095233</v>
      </c>
      <c r="R34" s="18">
        <v>0.79166666666666663</v>
      </c>
      <c r="S34" s="33">
        <v>1</v>
      </c>
    </row>
    <row r="35" spans="13:19" ht="19.5" customHeight="1" x14ac:dyDescent="0.25">
      <c r="M35" s="32" t="s">
        <v>21</v>
      </c>
      <c r="N35" s="10"/>
      <c r="O35" s="19">
        <v>0.7</v>
      </c>
      <c r="P35" s="20">
        <v>0.61111111111111116</v>
      </c>
      <c r="Q35" s="21">
        <v>1</v>
      </c>
      <c r="R35" s="22">
        <v>0.79166666666666663</v>
      </c>
      <c r="S35" s="34">
        <v>1</v>
      </c>
    </row>
    <row r="36" spans="13:19" ht="19.5" customHeight="1" x14ac:dyDescent="0.25">
      <c r="M36" s="32" t="s">
        <v>22</v>
      </c>
      <c r="N36" s="10"/>
      <c r="O36" s="15">
        <v>0.89659999999999995</v>
      </c>
      <c r="P36" s="16">
        <v>1</v>
      </c>
      <c r="Q36" s="17">
        <v>1</v>
      </c>
      <c r="R36" s="18">
        <v>0.91666666666666663</v>
      </c>
      <c r="S36" s="33">
        <v>1</v>
      </c>
    </row>
    <row r="37" spans="13:19" ht="19.5" customHeight="1" x14ac:dyDescent="0.25">
      <c r="M37" s="32" t="s">
        <v>23</v>
      </c>
      <c r="N37" s="10"/>
      <c r="O37" s="19">
        <v>0.89659999999999995</v>
      </c>
      <c r="P37" s="20">
        <v>1</v>
      </c>
      <c r="Q37" s="21">
        <v>1</v>
      </c>
      <c r="R37" s="22">
        <v>0.91666666666666663</v>
      </c>
      <c r="S37" s="34">
        <v>1</v>
      </c>
    </row>
    <row r="38" spans="13:19" ht="19.5" customHeight="1" x14ac:dyDescent="0.25">
      <c r="M38" s="32" t="s">
        <v>24</v>
      </c>
      <c r="N38" s="10"/>
      <c r="O38" s="15">
        <v>0.89659999999999995</v>
      </c>
      <c r="P38" s="16">
        <v>1</v>
      </c>
      <c r="Q38" s="17">
        <v>1</v>
      </c>
      <c r="R38" s="18">
        <v>0.95833333333333337</v>
      </c>
      <c r="S38" s="33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S38"/>
  <sheetViews>
    <sheetView showGridLines="0" zoomScale="80" zoomScaleNormal="80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4" width="7.28515625" bestFit="1" customWidth="1"/>
    <col min="15" max="16" width="8.140625" bestFit="1" customWidth="1"/>
    <col min="17" max="17" width="8.7109375" bestFit="1" customWidth="1"/>
    <col min="18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190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191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9.9000000000000005E-2</v>
      </c>
      <c r="O25" s="11"/>
      <c r="P25" s="12">
        <v>0.10476190476190481</v>
      </c>
      <c r="Q25" s="13">
        <v>0.16842105263157889</v>
      </c>
      <c r="R25" s="14">
        <v>7.407407407407407E-2</v>
      </c>
      <c r="S25" s="31">
        <v>6.8965517241379309E-2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0.1176</v>
      </c>
      <c r="O26" s="15"/>
      <c r="P26" s="16">
        <v>0.1333333333333333</v>
      </c>
      <c r="Q26" s="17">
        <v>0.1789473684210526</v>
      </c>
      <c r="R26" s="18">
        <v>9.8765432098765427E-2</v>
      </c>
      <c r="S26" s="33">
        <v>0.12643678160919539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4">
        <v>0.1176</v>
      </c>
      <c r="O27" s="19">
        <v>0.16109999999999999</v>
      </c>
      <c r="P27" s="20">
        <v>0.14285714285714279</v>
      </c>
      <c r="Q27" s="21">
        <v>0.26315789473684209</v>
      </c>
      <c r="R27" s="22">
        <v>0.1111111111111111</v>
      </c>
      <c r="S27" s="34">
        <v>0.17241379310344829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0.18129999999999999</v>
      </c>
      <c r="P28" s="16">
        <v>0.19047619047619049</v>
      </c>
      <c r="Q28" s="17">
        <v>0.27368421052631581</v>
      </c>
      <c r="R28" s="18">
        <v>0.1234567901234568</v>
      </c>
      <c r="S28" s="33">
        <v>0.1954022988505747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0.26779999999999998</v>
      </c>
      <c r="P29" s="20">
        <v>0.23809523809523811</v>
      </c>
      <c r="Q29" s="21">
        <v>0.29473684210526307</v>
      </c>
      <c r="R29" s="22">
        <v>0.19753086419753091</v>
      </c>
      <c r="S29" s="34">
        <v>0.22988505747126439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0.33150000000000002</v>
      </c>
      <c r="P30" s="16">
        <v>0.3619047619047619</v>
      </c>
      <c r="Q30" s="17">
        <v>0.41052631578947368</v>
      </c>
      <c r="R30" s="18">
        <v>0.19753086419753091</v>
      </c>
      <c r="S30" s="33">
        <v>0.27586206896551718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0.44309999999999999</v>
      </c>
      <c r="P31" s="20">
        <v>0.47619047619047622</v>
      </c>
      <c r="Q31" s="21">
        <v>0.49473684210526309</v>
      </c>
      <c r="R31" s="22">
        <v>0.27160493827160492</v>
      </c>
      <c r="S31" s="34">
        <v>0.42528735632183912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0.60140000000000005</v>
      </c>
      <c r="P32" s="16">
        <v>0.52380952380952384</v>
      </c>
      <c r="Q32" s="17">
        <v>0.49473684210526309</v>
      </c>
      <c r="R32" s="18">
        <v>0.33333333333333331</v>
      </c>
      <c r="S32" s="33">
        <v>0.57471264367816088</v>
      </c>
    </row>
    <row r="33" spans="13:19" ht="19.5" customHeight="1" x14ac:dyDescent="0.25">
      <c r="M33" s="32" t="s">
        <v>19</v>
      </c>
      <c r="N33" s="10"/>
      <c r="O33" s="19">
        <v>0.7258</v>
      </c>
      <c r="P33" s="20">
        <v>0.59047619047619049</v>
      </c>
      <c r="Q33" s="21">
        <v>0.57894736842105265</v>
      </c>
      <c r="R33" s="22">
        <v>0.5679012345679012</v>
      </c>
      <c r="S33" s="34">
        <v>0.74712643678160917</v>
      </c>
    </row>
    <row r="34" spans="13:19" ht="19.5" customHeight="1" x14ac:dyDescent="0.25">
      <c r="M34" s="32" t="s">
        <v>20</v>
      </c>
      <c r="N34" s="10"/>
      <c r="O34" s="15">
        <v>0.78150000000000008</v>
      </c>
      <c r="P34" s="16">
        <v>0.65714285714285714</v>
      </c>
      <c r="Q34" s="17">
        <v>0.74736842105263157</v>
      </c>
      <c r="R34" s="18">
        <v>0.7407407407407407</v>
      </c>
      <c r="S34" s="33">
        <v>0.87356321839080464</v>
      </c>
    </row>
    <row r="35" spans="13:19" ht="19.5" customHeight="1" x14ac:dyDescent="0.25">
      <c r="M35" s="32" t="s">
        <v>21</v>
      </c>
      <c r="N35" s="10"/>
      <c r="O35" s="19">
        <v>0.82239999999999991</v>
      </c>
      <c r="P35" s="20">
        <v>0.72380952380952379</v>
      </c>
      <c r="Q35" s="21">
        <v>0.86315789473684212</v>
      </c>
      <c r="R35" s="22">
        <v>0.81481481481481477</v>
      </c>
      <c r="S35" s="34">
        <v>0.89655172413793105</v>
      </c>
    </row>
    <row r="36" spans="13:19" ht="19.5" customHeight="1" x14ac:dyDescent="0.25">
      <c r="M36" s="32" t="s">
        <v>22</v>
      </c>
      <c r="N36" s="10"/>
      <c r="O36" s="15">
        <v>0.91890000000000005</v>
      </c>
      <c r="P36" s="16">
        <v>0.89523809523809528</v>
      </c>
      <c r="Q36" s="17">
        <v>0.9263157894736842</v>
      </c>
      <c r="R36" s="18">
        <v>0.85185185185185186</v>
      </c>
      <c r="S36" s="33">
        <v>0.93103448275862066</v>
      </c>
    </row>
    <row r="37" spans="13:19" ht="19.5" customHeight="1" x14ac:dyDescent="0.25">
      <c r="M37" s="32" t="s">
        <v>23</v>
      </c>
      <c r="N37" s="10"/>
      <c r="O37" s="19">
        <v>0.95409999999999995</v>
      </c>
      <c r="P37" s="20">
        <v>0.92380952380952386</v>
      </c>
      <c r="Q37" s="21">
        <v>0.93684210526315792</v>
      </c>
      <c r="R37" s="22">
        <v>0.85185185185185186</v>
      </c>
      <c r="S37" s="34">
        <v>0.93103448275862066</v>
      </c>
    </row>
    <row r="38" spans="13:19" ht="19.5" customHeight="1" x14ac:dyDescent="0.25">
      <c r="M38" s="32" t="s">
        <v>24</v>
      </c>
      <c r="N38" s="10"/>
      <c r="O38" s="15">
        <v>0.95450000000000002</v>
      </c>
      <c r="P38" s="16">
        <v>0.97140000000000004</v>
      </c>
      <c r="Q38" s="17">
        <v>0.98950000000000005</v>
      </c>
      <c r="R38" s="18">
        <v>1</v>
      </c>
      <c r="S38" s="33">
        <v>0.98850000000000005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S38"/>
  <sheetViews>
    <sheetView showGridLines="0" zoomScale="88" zoomScaleNormal="80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3" width="7.28515625" bestFit="1" customWidth="1"/>
    <col min="14" max="14" width="8.42578125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192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193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0.1462</v>
      </c>
      <c r="O25" s="11"/>
      <c r="P25" s="12">
        <v>0.10476190476190481</v>
      </c>
      <c r="Q25" s="13">
        <v>0.16842105263157889</v>
      </c>
      <c r="R25" s="14">
        <v>7.407407407407407E-2</v>
      </c>
      <c r="S25" s="31">
        <v>6.8965517241379309E-2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0.1615</v>
      </c>
      <c r="O26" s="15"/>
      <c r="P26" s="16">
        <v>0.1333333333333333</v>
      </c>
      <c r="Q26" s="17">
        <v>0.1789473684210526</v>
      </c>
      <c r="R26" s="18">
        <v>9.8765432098765427E-2</v>
      </c>
      <c r="S26" s="33">
        <v>0.12643678160919539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4">
        <v>0.1615</v>
      </c>
      <c r="O27" s="19">
        <v>0.16109999999999999</v>
      </c>
      <c r="P27" s="20">
        <v>0.14285714285714279</v>
      </c>
      <c r="Q27" s="21">
        <v>0.26315789473684209</v>
      </c>
      <c r="R27" s="22">
        <v>0.1111111111111111</v>
      </c>
      <c r="S27" s="34">
        <v>0.17241379310344829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0.18129999999999999</v>
      </c>
      <c r="P28" s="16">
        <v>0.19047619047619049</v>
      </c>
      <c r="Q28" s="17">
        <v>0.27368421052631581</v>
      </c>
      <c r="R28" s="18">
        <v>0.1234567901234568</v>
      </c>
      <c r="S28" s="33">
        <v>0.1954022988505747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0.26779999999999998</v>
      </c>
      <c r="P29" s="20">
        <v>0.23809523809523811</v>
      </c>
      <c r="Q29" s="21">
        <v>0.29473684210526307</v>
      </c>
      <c r="R29" s="22">
        <v>0.19753086419753091</v>
      </c>
      <c r="S29" s="34">
        <v>0.22988505747126439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0.38840000000000002</v>
      </c>
      <c r="P30" s="16">
        <v>0.3619047619047619</v>
      </c>
      <c r="Q30" s="17">
        <v>0.41052631578947368</v>
      </c>
      <c r="R30" s="18">
        <v>0.19753086419753091</v>
      </c>
      <c r="S30" s="33">
        <v>0.27586206896551718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0.4138</v>
      </c>
      <c r="P31" s="20">
        <v>0.47619047619047622</v>
      </c>
      <c r="Q31" s="21">
        <v>0.49473684210526309</v>
      </c>
      <c r="R31" s="22">
        <v>0.27160493827160492</v>
      </c>
      <c r="S31" s="34">
        <v>0.42528735632183912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0.43859999999999999</v>
      </c>
      <c r="P32" s="16">
        <v>0.52380952380952384</v>
      </c>
      <c r="Q32" s="17">
        <v>0.49473684210526309</v>
      </c>
      <c r="R32" s="18">
        <v>0.33333333333333331</v>
      </c>
      <c r="S32" s="33">
        <v>0.57471264367816088</v>
      </c>
    </row>
    <row r="33" spans="13:19" ht="19.5" customHeight="1" x14ac:dyDescent="0.25">
      <c r="M33" s="32" t="s">
        <v>19</v>
      </c>
      <c r="N33" s="10"/>
      <c r="O33" s="19">
        <v>0.5534</v>
      </c>
      <c r="P33" s="20">
        <v>0.59047619047619049</v>
      </c>
      <c r="Q33" s="21">
        <v>0.57894736842105265</v>
      </c>
      <c r="R33" s="22">
        <v>0.5679012345679012</v>
      </c>
      <c r="S33" s="34">
        <v>0.74712643678160917</v>
      </c>
    </row>
    <row r="34" spans="13:19" ht="19.5" customHeight="1" x14ac:dyDescent="0.25">
      <c r="M34" s="32" t="s">
        <v>20</v>
      </c>
      <c r="N34" s="10"/>
      <c r="O34" s="15">
        <v>0.65980000000000005</v>
      </c>
      <c r="P34" s="16">
        <v>0.65714285714285714</v>
      </c>
      <c r="Q34" s="17">
        <v>0.74736842105263157</v>
      </c>
      <c r="R34" s="18">
        <v>0.7407407407407407</v>
      </c>
      <c r="S34" s="33">
        <v>0.87356321839080464</v>
      </c>
    </row>
    <row r="35" spans="13:19" ht="19.5" customHeight="1" x14ac:dyDescent="0.25">
      <c r="M35" s="32" t="s">
        <v>21</v>
      </c>
      <c r="N35" s="10"/>
      <c r="O35" s="19">
        <v>0.79760000000000009</v>
      </c>
      <c r="P35" s="20">
        <v>0.72380952380952379</v>
      </c>
      <c r="Q35" s="21">
        <v>0.86315789473684212</v>
      </c>
      <c r="R35" s="22">
        <v>0.81481481481481477</v>
      </c>
      <c r="S35" s="34">
        <v>0.89655172413793105</v>
      </c>
    </row>
    <row r="36" spans="13:19" ht="19.5" customHeight="1" x14ac:dyDescent="0.25">
      <c r="M36" s="32" t="s">
        <v>22</v>
      </c>
      <c r="N36" s="10"/>
      <c r="O36" s="15">
        <v>0.97219999999999995</v>
      </c>
      <c r="P36" s="16">
        <v>0.89523809523809528</v>
      </c>
      <c r="Q36" s="17">
        <v>0.9263157894736842</v>
      </c>
      <c r="R36" s="18">
        <v>0.85185185185185186</v>
      </c>
      <c r="S36" s="33">
        <v>0.93103448275862066</v>
      </c>
    </row>
    <row r="37" spans="13:19" ht="19.5" customHeight="1" x14ac:dyDescent="0.25">
      <c r="M37" s="32" t="s">
        <v>23</v>
      </c>
      <c r="N37" s="10"/>
      <c r="O37" s="19">
        <v>1</v>
      </c>
      <c r="P37" s="20">
        <v>0.92380952380952386</v>
      </c>
      <c r="Q37" s="21">
        <v>0.93684210526315792</v>
      </c>
      <c r="R37" s="22">
        <v>0.85185185185185186</v>
      </c>
      <c r="S37" s="34">
        <v>0.93103448275862066</v>
      </c>
    </row>
    <row r="38" spans="13:19" ht="19.5" customHeight="1" x14ac:dyDescent="0.25">
      <c r="M38" s="32" t="s">
        <v>24</v>
      </c>
      <c r="N38" s="10"/>
      <c r="O38" s="15">
        <v>1</v>
      </c>
      <c r="P38" s="16">
        <v>0.95238095238095233</v>
      </c>
      <c r="Q38" s="17">
        <v>0.93684210526315792</v>
      </c>
      <c r="R38" s="18">
        <v>0.85185185185185186</v>
      </c>
      <c r="S38" s="33">
        <v>0.93103448275862066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S38"/>
  <sheetViews>
    <sheetView showGridLines="0" zoomScale="95" zoomScaleNormal="95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3" width="7.28515625" bestFit="1" customWidth="1"/>
    <col min="14" max="14" width="8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194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195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0.19089999999999999</v>
      </c>
      <c r="O25" s="11"/>
      <c r="P25" s="12">
        <v>0.127</v>
      </c>
      <c r="Q25" s="13">
        <v>0.1656</v>
      </c>
      <c r="R25" s="14">
        <v>0.1053</v>
      </c>
      <c r="S25" s="31">
        <v>0.20130000000000001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0.23769999999999999</v>
      </c>
      <c r="O26" s="15"/>
      <c r="P26" s="16">
        <v>0.20630000000000001</v>
      </c>
      <c r="Q26" s="17">
        <v>0.36199999999999999</v>
      </c>
      <c r="R26" s="18">
        <v>0.15129999999999999</v>
      </c>
      <c r="S26" s="33">
        <v>0.38990000000000002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2">
        <v>0.2432</v>
      </c>
      <c r="O27" s="19">
        <v>0.42009999999999997</v>
      </c>
      <c r="P27" s="20">
        <v>0.27510000000000001</v>
      </c>
      <c r="Q27" s="21">
        <v>0.41720000000000002</v>
      </c>
      <c r="R27" s="22">
        <v>0.2039</v>
      </c>
      <c r="S27" s="34">
        <v>0.42770000000000002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0.4541</v>
      </c>
      <c r="P28" s="16">
        <v>0.43919999999999998</v>
      </c>
      <c r="Q28" s="17">
        <v>0.4294</v>
      </c>
      <c r="R28" s="18">
        <v>0.36180000000000001</v>
      </c>
      <c r="S28" s="33">
        <v>0.44650000000000001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0.46539999999999998</v>
      </c>
      <c r="P29" s="20">
        <v>0.46029999999999999</v>
      </c>
      <c r="Q29" s="21">
        <v>0.56440000000000001</v>
      </c>
      <c r="R29" s="22">
        <v>0.38819999999999999</v>
      </c>
      <c r="S29" s="34">
        <v>0.47170000000000001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0.78300000000000003</v>
      </c>
      <c r="P30" s="16">
        <v>0.71430000000000005</v>
      </c>
      <c r="Q30" s="17">
        <v>0.68100000000000005</v>
      </c>
      <c r="R30" s="18">
        <v>0.54610000000000003</v>
      </c>
      <c r="S30" s="33">
        <v>0.49059999999999998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0.86380000000000001</v>
      </c>
      <c r="P31" s="20">
        <v>0.88360000000000005</v>
      </c>
      <c r="Q31" s="21">
        <v>0.83440000000000003</v>
      </c>
      <c r="R31" s="22">
        <v>0.68420000000000003</v>
      </c>
      <c r="S31" s="34">
        <v>0.71699999999999997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0.91469999999999996</v>
      </c>
      <c r="P32" s="16">
        <v>0.94710000000000005</v>
      </c>
      <c r="Q32" s="17">
        <v>0.95089999999999997</v>
      </c>
      <c r="R32" s="18">
        <v>0.94740000000000002</v>
      </c>
      <c r="S32" s="33">
        <v>0.93710000000000004</v>
      </c>
    </row>
    <row r="33" spans="13:19" ht="19.5" customHeight="1" x14ac:dyDescent="0.25">
      <c r="M33" s="32" t="s">
        <v>19</v>
      </c>
      <c r="N33" s="10"/>
      <c r="O33" s="19">
        <v>0.96619999999999995</v>
      </c>
      <c r="P33" s="20">
        <v>0.96299999999999997</v>
      </c>
      <c r="Q33" s="21">
        <v>0.96930000000000005</v>
      </c>
      <c r="R33" s="22">
        <v>0.96709999999999996</v>
      </c>
      <c r="S33" s="34">
        <v>0.9748</v>
      </c>
    </row>
    <row r="34" spans="13:19" ht="19.5" customHeight="1" x14ac:dyDescent="0.25">
      <c r="M34" s="32" t="s">
        <v>20</v>
      </c>
      <c r="N34" s="10"/>
      <c r="O34" s="15">
        <v>0.98069999999999991</v>
      </c>
      <c r="P34" s="16">
        <v>0.98409999999999997</v>
      </c>
      <c r="Q34" s="17">
        <v>0.97550000000000003</v>
      </c>
      <c r="R34" s="18">
        <v>0.98029999999999995</v>
      </c>
      <c r="S34" s="33">
        <v>0.98109999999999997</v>
      </c>
    </row>
    <row r="35" spans="13:19" ht="19.5" customHeight="1" x14ac:dyDescent="0.25">
      <c r="M35" s="32" t="s">
        <v>21</v>
      </c>
      <c r="N35" s="10"/>
      <c r="O35" s="19">
        <v>0.99029999999999996</v>
      </c>
      <c r="P35" s="20">
        <v>0.98939999999999995</v>
      </c>
      <c r="Q35" s="21">
        <v>1</v>
      </c>
      <c r="R35" s="22">
        <v>0.98680000000000001</v>
      </c>
      <c r="S35" s="34">
        <v>0.99370000000000003</v>
      </c>
    </row>
    <row r="36" spans="13:19" ht="19.5" customHeight="1" x14ac:dyDescent="0.25">
      <c r="M36" s="32" t="s">
        <v>22</v>
      </c>
      <c r="N36" s="10"/>
      <c r="O36" s="15">
        <v>1</v>
      </c>
      <c r="P36" s="16">
        <v>0.99470000000000003</v>
      </c>
      <c r="Q36" s="17">
        <v>1</v>
      </c>
      <c r="R36" s="18">
        <v>0.98680000000000001</v>
      </c>
      <c r="S36" s="33">
        <v>0.99370000000000003</v>
      </c>
    </row>
    <row r="37" spans="13:19" ht="19.5" customHeight="1" x14ac:dyDescent="0.25">
      <c r="M37" s="32" t="s">
        <v>23</v>
      </c>
      <c r="N37" s="10"/>
      <c r="O37" s="19">
        <v>0.99519999999999997</v>
      </c>
      <c r="P37" s="20">
        <v>0.99470000000000003</v>
      </c>
      <c r="Q37" s="21">
        <v>1</v>
      </c>
      <c r="R37" s="22">
        <v>0.98680000000000001</v>
      </c>
      <c r="S37" s="34">
        <v>0.99370000000000003</v>
      </c>
    </row>
    <row r="38" spans="13:19" ht="19.5" customHeight="1" x14ac:dyDescent="0.25">
      <c r="M38" s="32" t="s">
        <v>24</v>
      </c>
      <c r="N38" s="10"/>
      <c r="O38" s="15">
        <v>1</v>
      </c>
      <c r="P38" s="16">
        <v>0.99470000000000003</v>
      </c>
      <c r="Q38" s="17">
        <v>1</v>
      </c>
      <c r="R38" s="18">
        <v>0.98680000000000001</v>
      </c>
      <c r="S38" s="33">
        <v>0.99370000000000003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38"/>
  <sheetViews>
    <sheetView showGridLines="0" zoomScale="83" zoomScaleNormal="83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4" width="7.28515625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196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197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5.2600000000000001E-2</v>
      </c>
      <c r="O25" s="11"/>
      <c r="P25" s="12">
        <v>5.7500000000000002E-2</v>
      </c>
      <c r="Q25" s="13">
        <v>5.33E-2</v>
      </c>
      <c r="R25" s="14">
        <v>3.2300000000000002E-2</v>
      </c>
      <c r="S25" s="31">
        <v>5.8400000000000001E-2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9.3799999999999994E-2</v>
      </c>
      <c r="O26" s="15"/>
      <c r="P26" s="16">
        <v>0.10340000000000001</v>
      </c>
      <c r="Q26" s="17">
        <v>0.08</v>
      </c>
      <c r="R26" s="18">
        <v>6.4500000000000002E-2</v>
      </c>
      <c r="S26" s="33">
        <v>0.2336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2">
        <v>0.13539999999999999</v>
      </c>
      <c r="O27" s="19">
        <v>0.3014</v>
      </c>
      <c r="P27" s="20">
        <v>0.2414</v>
      </c>
      <c r="Q27" s="21">
        <v>0.25330000000000003</v>
      </c>
      <c r="R27" s="22">
        <v>0.371</v>
      </c>
      <c r="S27" s="34">
        <v>0.34310000000000002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0.34250000000000003</v>
      </c>
      <c r="P28" s="16">
        <v>0.31030000000000002</v>
      </c>
      <c r="Q28" s="17">
        <v>0.36</v>
      </c>
      <c r="R28" s="18">
        <v>0.4758</v>
      </c>
      <c r="S28" s="33">
        <v>0.48180000000000001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0.43840000000000001</v>
      </c>
      <c r="P29" s="20">
        <v>0.33329999999999999</v>
      </c>
      <c r="Q29" s="21">
        <v>0.49330000000000002</v>
      </c>
      <c r="R29" s="22">
        <v>0.4919</v>
      </c>
      <c r="S29" s="34">
        <v>0.51090000000000002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0.47949999999999998</v>
      </c>
      <c r="P30" s="16">
        <v>0.42530000000000001</v>
      </c>
      <c r="Q30" s="17">
        <v>0.50670000000000004</v>
      </c>
      <c r="R30" s="18">
        <v>0.5161</v>
      </c>
      <c r="S30" s="33">
        <v>0.59119999999999995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0.51390000000000002</v>
      </c>
      <c r="P31" s="20">
        <v>0.50570000000000004</v>
      </c>
      <c r="Q31" s="21">
        <v>0.5333</v>
      </c>
      <c r="R31" s="22">
        <v>0.5484</v>
      </c>
      <c r="S31" s="34">
        <v>0.64959999999999996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0.60870000000000002</v>
      </c>
      <c r="P32" s="16">
        <v>0.54020000000000001</v>
      </c>
      <c r="Q32" s="17">
        <v>0.57330000000000003</v>
      </c>
      <c r="R32" s="18">
        <v>0.5887</v>
      </c>
      <c r="S32" s="33">
        <v>0.70799999999999996</v>
      </c>
    </row>
    <row r="33" spans="13:19" ht="19.5" customHeight="1" x14ac:dyDescent="0.25">
      <c r="M33" s="32" t="s">
        <v>19</v>
      </c>
      <c r="N33" s="10"/>
      <c r="O33" s="19">
        <v>0.66669999999999996</v>
      </c>
      <c r="P33" s="20">
        <v>0.60919999999999996</v>
      </c>
      <c r="Q33" s="21">
        <v>0.68</v>
      </c>
      <c r="R33" s="22">
        <v>0.7177</v>
      </c>
      <c r="S33" s="34">
        <v>0.76639999999999997</v>
      </c>
    </row>
    <row r="34" spans="13:19" ht="19.5" customHeight="1" x14ac:dyDescent="0.25">
      <c r="M34" s="32" t="s">
        <v>20</v>
      </c>
      <c r="N34" s="10"/>
      <c r="O34" s="15">
        <v>0.72459999999999991</v>
      </c>
      <c r="P34" s="16">
        <v>0.70109999999999995</v>
      </c>
      <c r="Q34" s="17">
        <v>0.73329999999999995</v>
      </c>
      <c r="R34" s="18">
        <v>0.7903</v>
      </c>
      <c r="S34" s="33">
        <v>0.86860000000000004</v>
      </c>
    </row>
    <row r="35" spans="13:19" ht="19.5" customHeight="1" x14ac:dyDescent="0.25">
      <c r="M35" s="32" t="s">
        <v>21</v>
      </c>
      <c r="N35" s="10"/>
      <c r="O35" s="19">
        <v>0.79409999999999992</v>
      </c>
      <c r="P35" s="20">
        <v>0.79310000000000003</v>
      </c>
      <c r="Q35" s="21">
        <v>0.8</v>
      </c>
      <c r="R35" s="22">
        <v>0.8306</v>
      </c>
      <c r="S35" s="34">
        <v>0.92700000000000005</v>
      </c>
    </row>
    <row r="36" spans="13:19" ht="19.5" customHeight="1" x14ac:dyDescent="0.25">
      <c r="M36" s="32" t="s">
        <v>22</v>
      </c>
      <c r="N36" s="10"/>
      <c r="O36" s="15">
        <v>0.88239999999999996</v>
      </c>
      <c r="P36" s="16">
        <v>0.8276</v>
      </c>
      <c r="Q36" s="17">
        <v>0.85329999999999995</v>
      </c>
      <c r="R36" s="18">
        <v>0.8871</v>
      </c>
      <c r="S36" s="33">
        <v>0.95620000000000005</v>
      </c>
    </row>
    <row r="37" spans="13:19" ht="19.5" customHeight="1" x14ac:dyDescent="0.25">
      <c r="M37" s="32" t="s">
        <v>23</v>
      </c>
      <c r="N37" s="10"/>
      <c r="O37" s="19">
        <v>0.89549999999999996</v>
      </c>
      <c r="P37" s="20">
        <v>0.86209999999999998</v>
      </c>
      <c r="Q37" s="21">
        <v>0.88</v>
      </c>
      <c r="R37" s="22">
        <v>0.9113</v>
      </c>
      <c r="S37" s="34">
        <v>0.9708</v>
      </c>
    </row>
    <row r="38" spans="13:19" ht="19.5" customHeight="1" x14ac:dyDescent="0.25">
      <c r="M38" s="32" t="s">
        <v>24</v>
      </c>
      <c r="N38" s="10"/>
      <c r="O38" s="15">
        <v>0.89549999999999996</v>
      </c>
      <c r="P38" s="16">
        <v>0.87360000000000004</v>
      </c>
      <c r="Q38" s="17">
        <v>0.88</v>
      </c>
      <c r="R38" s="18">
        <v>0.94350000000000001</v>
      </c>
      <c r="S38" s="33">
        <v>0.98540000000000005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38"/>
  <sheetViews>
    <sheetView showGridLines="0" zoomScale="81" zoomScaleNormal="81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4" width="7.28515625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198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199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5.4899999999999997E-2</v>
      </c>
      <c r="O25" s="11"/>
      <c r="P25" s="12">
        <v>4.3999999999999997E-2</v>
      </c>
      <c r="Q25" s="13">
        <v>9.5699999999999993E-2</v>
      </c>
      <c r="R25" s="14">
        <v>6.9000000000000006E-2</v>
      </c>
      <c r="S25" s="31">
        <v>6.9800000000000001E-2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8.7900000000000006E-2</v>
      </c>
      <c r="O26" s="15"/>
      <c r="P26" s="16">
        <v>7.6899999999999996E-2</v>
      </c>
      <c r="Q26" s="17">
        <v>0.15959999999999999</v>
      </c>
      <c r="R26" s="18">
        <v>0.10340000000000001</v>
      </c>
      <c r="S26" s="33">
        <v>0.12790000000000001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2">
        <v>9.8900000000000002E-2</v>
      </c>
      <c r="O27" s="19">
        <v>0.14000000000000001</v>
      </c>
      <c r="P27" s="20">
        <v>9.8900000000000002E-2</v>
      </c>
      <c r="Q27" s="21">
        <v>0.18090000000000001</v>
      </c>
      <c r="R27" s="22">
        <v>0.13789999999999999</v>
      </c>
      <c r="S27" s="34">
        <v>0.19769999999999999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0.20619999999999999</v>
      </c>
      <c r="P28" s="16">
        <v>0.13189999999999999</v>
      </c>
      <c r="Q28" s="17">
        <v>0.27660000000000001</v>
      </c>
      <c r="R28" s="18">
        <v>0.2069</v>
      </c>
      <c r="S28" s="33">
        <v>0.3372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0.25509999999999999</v>
      </c>
      <c r="P29" s="20">
        <v>0.1429</v>
      </c>
      <c r="Q29" s="21">
        <v>0.28720000000000001</v>
      </c>
      <c r="R29" s="22">
        <v>0.2414</v>
      </c>
      <c r="S29" s="34">
        <v>0.36049999999999999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0.4078</v>
      </c>
      <c r="P30" s="16">
        <v>0.31869999999999998</v>
      </c>
      <c r="Q30" s="17">
        <v>0.37230000000000002</v>
      </c>
      <c r="R30" s="18">
        <v>0.33329999999999999</v>
      </c>
      <c r="S30" s="33">
        <v>0.47670000000000001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0.4466</v>
      </c>
      <c r="P31" s="20">
        <v>0.3407</v>
      </c>
      <c r="Q31" s="21">
        <v>0.43619999999999998</v>
      </c>
      <c r="R31" s="22">
        <v>0.35630000000000001</v>
      </c>
      <c r="S31" s="34">
        <v>0.52329999999999999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0.54459999999999997</v>
      </c>
      <c r="P32" s="16">
        <v>0.53849999999999998</v>
      </c>
      <c r="Q32" s="17">
        <v>0.61699999999999999</v>
      </c>
      <c r="R32" s="18">
        <v>0.66669999999999996</v>
      </c>
      <c r="S32" s="33">
        <v>0.73260000000000003</v>
      </c>
    </row>
    <row r="33" spans="13:19" ht="19.5" customHeight="1" x14ac:dyDescent="0.25">
      <c r="M33" s="32" t="s">
        <v>19</v>
      </c>
      <c r="N33" s="10"/>
      <c r="O33" s="19">
        <v>0.66990000000000005</v>
      </c>
      <c r="P33" s="20">
        <v>0.64839999999999998</v>
      </c>
      <c r="Q33" s="21">
        <v>0.67020000000000002</v>
      </c>
      <c r="R33" s="22">
        <v>0.68969999999999998</v>
      </c>
      <c r="S33" s="34">
        <v>0.8256</v>
      </c>
    </row>
    <row r="34" spans="13:19" ht="19.5" customHeight="1" x14ac:dyDescent="0.25">
      <c r="M34" s="32" t="s">
        <v>20</v>
      </c>
      <c r="N34" s="10"/>
      <c r="O34" s="15">
        <v>0.79120000000000001</v>
      </c>
      <c r="P34" s="16">
        <v>0.70330000000000004</v>
      </c>
      <c r="Q34" s="17">
        <v>0.6915</v>
      </c>
      <c r="R34" s="18">
        <v>0.72409999999999997</v>
      </c>
      <c r="S34" s="33">
        <v>0.90700000000000003</v>
      </c>
    </row>
    <row r="35" spans="13:19" ht="19.5" customHeight="1" x14ac:dyDescent="0.25">
      <c r="M35" s="32" t="s">
        <v>21</v>
      </c>
      <c r="N35" s="10"/>
      <c r="O35" s="19">
        <v>0.81519999999999992</v>
      </c>
      <c r="P35" s="20">
        <v>0.81320000000000003</v>
      </c>
      <c r="Q35" s="21">
        <v>0.71279999999999999</v>
      </c>
      <c r="R35" s="22">
        <v>0.81610000000000005</v>
      </c>
      <c r="S35" s="34">
        <v>0.96509999999999996</v>
      </c>
    </row>
    <row r="36" spans="13:19" ht="19.5" customHeight="1" x14ac:dyDescent="0.25">
      <c r="M36" s="32" t="s">
        <v>22</v>
      </c>
      <c r="N36" s="10"/>
      <c r="O36" s="15">
        <v>0.91010000000000002</v>
      </c>
      <c r="P36" s="16">
        <v>0.8901</v>
      </c>
      <c r="Q36" s="17">
        <v>0.88300000000000001</v>
      </c>
      <c r="R36" s="18">
        <v>0.93100000000000005</v>
      </c>
      <c r="S36" s="33">
        <v>1.0116000000000001</v>
      </c>
    </row>
    <row r="37" spans="13:19" ht="19.5" customHeight="1" x14ac:dyDescent="0.25">
      <c r="M37" s="32" t="s">
        <v>23</v>
      </c>
      <c r="N37" s="10"/>
      <c r="O37" s="19">
        <v>0.89890000000000003</v>
      </c>
      <c r="P37" s="20">
        <v>0.94510000000000005</v>
      </c>
      <c r="Q37" s="21">
        <v>0.90429999999999999</v>
      </c>
      <c r="R37" s="22">
        <v>0.9425</v>
      </c>
      <c r="S37" s="34">
        <v>1.0116000000000001</v>
      </c>
    </row>
    <row r="38" spans="13:19" ht="19.5" customHeight="1" x14ac:dyDescent="0.25">
      <c r="M38" s="32" t="s">
        <v>24</v>
      </c>
      <c r="N38" s="10"/>
      <c r="O38" s="15">
        <v>0.91010000000000002</v>
      </c>
      <c r="P38" s="16">
        <v>0.94510000000000005</v>
      </c>
      <c r="Q38" s="17">
        <v>0.90429999999999999</v>
      </c>
      <c r="R38" s="18">
        <v>0.9425</v>
      </c>
      <c r="S38" s="33">
        <v>1.0116000000000001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S38"/>
  <sheetViews>
    <sheetView showGridLines="0" zoomScale="83" zoomScaleNormal="83" workbookViewId="0">
      <selection activeCell="N27" sqref="N27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3" width="7.28515625" bestFit="1" customWidth="1"/>
    <col min="14" max="14" width="7.7109375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65" t="s">
        <v>200</v>
      </c>
      <c r="C1" s="35"/>
      <c r="D1" s="35"/>
      <c r="E1" s="35"/>
      <c r="F1" s="35"/>
      <c r="G1" s="35"/>
      <c r="H1" s="35"/>
      <c r="I1" s="35"/>
      <c r="J1" s="66"/>
    </row>
    <row r="21" spans="2:19" ht="27" customHeight="1" x14ac:dyDescent="0.4">
      <c r="B21" s="65" t="s">
        <v>201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2:19" ht="18.95" customHeight="1" x14ac:dyDescent="0.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24" t="s">
        <v>2</v>
      </c>
      <c r="N22" s="23"/>
      <c r="O22" s="23"/>
      <c r="P22" s="23"/>
      <c r="Q22" s="23"/>
      <c r="R22" s="23"/>
      <c r="S22" s="25"/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6" t="s">
        <v>3</v>
      </c>
      <c r="N23" s="35"/>
      <c r="O23" s="35"/>
      <c r="P23" s="35"/>
      <c r="Q23" s="35"/>
      <c r="R23" s="35"/>
      <c r="S23" s="27"/>
    </row>
    <row r="24" spans="2:19" ht="19.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28" t="s">
        <v>4</v>
      </c>
      <c r="N24" s="67" t="s">
        <v>5</v>
      </c>
      <c r="O24" s="68" t="s">
        <v>6</v>
      </c>
      <c r="P24" s="69" t="s">
        <v>7</v>
      </c>
      <c r="Q24" s="70" t="s">
        <v>8</v>
      </c>
      <c r="R24" s="71" t="s">
        <v>9</v>
      </c>
      <c r="S24" s="29" t="s">
        <v>10</v>
      </c>
    </row>
    <row r="25" spans="2:19" ht="19.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0" t="s">
        <v>11</v>
      </c>
      <c r="N25" s="10">
        <v>0</v>
      </c>
      <c r="O25" s="11"/>
      <c r="P25" s="12">
        <v>0</v>
      </c>
      <c r="Q25" s="13">
        <v>9.0899999999999995E-2</v>
      </c>
      <c r="R25" s="14">
        <v>0</v>
      </c>
      <c r="S25" s="31">
        <v>2.9399999999999999E-2</v>
      </c>
    </row>
    <row r="26" spans="2:19" ht="19.5" customHeight="1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2" t="s">
        <v>12</v>
      </c>
      <c r="N26" s="10">
        <v>0</v>
      </c>
      <c r="O26" s="15"/>
      <c r="P26" s="16">
        <v>0</v>
      </c>
      <c r="Q26" s="17">
        <v>9.0899999999999995E-2</v>
      </c>
      <c r="R26" s="18">
        <v>0</v>
      </c>
      <c r="S26" s="33">
        <v>2.9399999999999999E-2</v>
      </c>
    </row>
    <row r="27" spans="2:19" ht="19.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2" t="s">
        <v>13</v>
      </c>
      <c r="N27" s="62">
        <v>0</v>
      </c>
      <c r="O27" s="19">
        <v>2.9399999999999999E-2</v>
      </c>
      <c r="P27" s="20">
        <v>0</v>
      </c>
      <c r="Q27" s="21">
        <v>0.1212</v>
      </c>
      <c r="R27" s="22">
        <v>3.3300000000000003E-2</v>
      </c>
      <c r="S27" s="34">
        <v>2.9399999999999999E-2</v>
      </c>
    </row>
    <row r="28" spans="2:19" ht="19.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2" t="s">
        <v>14</v>
      </c>
      <c r="N28" s="10"/>
      <c r="O28" s="15">
        <v>2.9399999999999999E-2</v>
      </c>
      <c r="P28" s="16">
        <v>6.6699999999999995E-2</v>
      </c>
      <c r="Q28" s="17">
        <v>0.1212</v>
      </c>
      <c r="R28" s="18">
        <v>0.1</v>
      </c>
      <c r="S28" s="33">
        <v>5.8799999999999998E-2</v>
      </c>
    </row>
    <row r="29" spans="2:19" ht="19.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2" t="s">
        <v>15</v>
      </c>
      <c r="N29" s="10"/>
      <c r="O29" s="19">
        <v>6.25E-2</v>
      </c>
      <c r="P29" s="20">
        <v>0.1</v>
      </c>
      <c r="Q29" s="21">
        <v>0.1515</v>
      </c>
      <c r="R29" s="22">
        <v>0.1</v>
      </c>
      <c r="S29" s="34">
        <v>0.1176</v>
      </c>
    </row>
    <row r="30" spans="2:19" ht="19.5" customHeight="1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2" t="s">
        <v>16</v>
      </c>
      <c r="N30" s="10"/>
      <c r="O30" s="15">
        <v>6.4500000000000002E-2</v>
      </c>
      <c r="P30" s="16">
        <v>0.1333</v>
      </c>
      <c r="Q30" s="17">
        <v>0.21210000000000001</v>
      </c>
      <c r="R30" s="18">
        <v>0.1</v>
      </c>
      <c r="S30" s="33">
        <v>0.17649999999999999</v>
      </c>
    </row>
    <row r="31" spans="2:19" ht="19.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2" t="s">
        <v>17</v>
      </c>
      <c r="N31" s="10"/>
      <c r="O31" s="19">
        <v>0.1515</v>
      </c>
      <c r="P31" s="20">
        <v>0.2</v>
      </c>
      <c r="Q31" s="21">
        <v>0.2727</v>
      </c>
      <c r="R31" s="22">
        <v>0.1333</v>
      </c>
      <c r="S31" s="34">
        <v>0.26469999999999999</v>
      </c>
    </row>
    <row r="32" spans="2:19" ht="19.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2" t="s">
        <v>18</v>
      </c>
      <c r="N32" s="10"/>
      <c r="O32" s="15">
        <v>0.25</v>
      </c>
      <c r="P32" s="16">
        <v>0.3</v>
      </c>
      <c r="Q32" s="17">
        <v>0.51519999999999999</v>
      </c>
      <c r="R32" s="18">
        <v>0.26669999999999999</v>
      </c>
      <c r="S32" s="33">
        <v>0.38240000000000002</v>
      </c>
    </row>
    <row r="33" spans="13:19" ht="19.5" customHeight="1" x14ac:dyDescent="0.25">
      <c r="M33" s="32" t="s">
        <v>19</v>
      </c>
      <c r="N33" s="10"/>
      <c r="O33" s="19">
        <v>0.45829999999999999</v>
      </c>
      <c r="P33" s="20">
        <v>0.5</v>
      </c>
      <c r="Q33" s="21">
        <v>0.66669999999999996</v>
      </c>
      <c r="R33" s="22">
        <v>0.43330000000000002</v>
      </c>
      <c r="S33" s="34">
        <v>0.47060000000000002</v>
      </c>
    </row>
    <row r="34" spans="13:19" ht="19.5" customHeight="1" x14ac:dyDescent="0.25">
      <c r="M34" s="32" t="s">
        <v>20</v>
      </c>
      <c r="N34" s="10"/>
      <c r="O34" s="15">
        <v>0.54170000000000007</v>
      </c>
      <c r="P34" s="16">
        <v>0.63329999999999997</v>
      </c>
      <c r="Q34" s="17">
        <v>0.75760000000000005</v>
      </c>
      <c r="R34" s="18">
        <v>0.43330000000000002</v>
      </c>
      <c r="S34" s="33">
        <v>0.52939999999999998</v>
      </c>
    </row>
    <row r="35" spans="13:19" ht="19.5" customHeight="1" x14ac:dyDescent="0.25">
      <c r="M35" s="32" t="s">
        <v>21</v>
      </c>
      <c r="N35" s="10"/>
      <c r="O35" s="19">
        <v>0.68180000000000007</v>
      </c>
      <c r="P35" s="20">
        <v>0.73329999999999995</v>
      </c>
      <c r="Q35" s="21">
        <v>0.81820000000000004</v>
      </c>
      <c r="R35" s="22">
        <v>0.7</v>
      </c>
      <c r="S35" s="34">
        <v>0.79410000000000003</v>
      </c>
    </row>
    <row r="36" spans="13:19" ht="19.5" customHeight="1" x14ac:dyDescent="0.25">
      <c r="M36" s="32" t="s">
        <v>22</v>
      </c>
      <c r="N36" s="10"/>
      <c r="O36" s="15">
        <v>0.86360000000000003</v>
      </c>
      <c r="P36" s="16">
        <v>0.8</v>
      </c>
      <c r="Q36" s="17">
        <v>0.87880000000000003</v>
      </c>
      <c r="R36" s="18">
        <v>0.7</v>
      </c>
      <c r="S36" s="33">
        <v>0.91180000000000005</v>
      </c>
    </row>
    <row r="37" spans="13:19" ht="19.5" customHeight="1" x14ac:dyDescent="0.25">
      <c r="M37" s="32" t="s">
        <v>23</v>
      </c>
      <c r="N37" s="10"/>
      <c r="O37" s="19">
        <v>0.86360000000000003</v>
      </c>
      <c r="P37" s="20">
        <v>0.83330000000000004</v>
      </c>
      <c r="Q37" s="21">
        <v>0.90910000000000002</v>
      </c>
      <c r="R37" s="22">
        <v>0.73329999999999995</v>
      </c>
      <c r="S37" s="34">
        <v>0.91180000000000005</v>
      </c>
    </row>
    <row r="38" spans="13:19" ht="19.5" customHeight="1" x14ac:dyDescent="0.25">
      <c r="M38" s="32" t="s">
        <v>24</v>
      </c>
      <c r="N38" s="10"/>
      <c r="O38" s="15">
        <v>0.95240000000000002</v>
      </c>
      <c r="P38" s="16">
        <v>0.86670000000000003</v>
      </c>
      <c r="Q38" s="17">
        <v>0.90910000000000002</v>
      </c>
      <c r="R38" s="18">
        <v>0.73329999999999995</v>
      </c>
      <c r="S38" s="33">
        <v>0.91180000000000005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S Z</cp:lastModifiedBy>
  <cp:revision/>
  <dcterms:created xsi:type="dcterms:W3CDTF">2026-01-21T15:54:49Z</dcterms:created>
  <dcterms:modified xsi:type="dcterms:W3CDTF">2026-10-14T19:34:17Z</dcterms:modified>
  <cp:category/>
  <cp:contentStatus/>
</cp:coreProperties>
</file>
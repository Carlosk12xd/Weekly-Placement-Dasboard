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drawings/drawing2.xml" ContentType="application/vnd.openxmlformats-officedocument.drawing+xml"/>
  <Override PartName="/xl/tables/table38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tables/table39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tables/table40.xml" ContentType="application/vnd.openxmlformats-officedocument.spreadsheetml.tab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5.xml" ContentType="application/vnd.openxmlformats-officedocument.drawing+xml"/>
  <Override PartName="/xl/tables/table41.xml" ContentType="application/vnd.openxmlformats-officedocument.spreadsheetml.tab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6.xml" ContentType="application/vnd.openxmlformats-officedocument.drawing+xml"/>
  <Override PartName="/xl/tables/table42.xml" ContentType="application/vnd.openxmlformats-officedocument.spreadsheetml.tab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7.xml" ContentType="application/vnd.openxmlformats-officedocument.drawing+xml"/>
  <Override PartName="/xl/tables/table43.xml" ContentType="application/vnd.openxmlformats-officedocument.spreadsheetml.tab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8.xml" ContentType="application/vnd.openxmlformats-officedocument.drawing+xml"/>
  <Override PartName="/xl/tables/table44.xml" ContentType="application/vnd.openxmlformats-officedocument.spreadsheetml.tab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9.xml" ContentType="application/vnd.openxmlformats-officedocument.drawing+xml"/>
  <Override PartName="/xl/tables/table45.xml" ContentType="application/vnd.openxmlformats-officedocument.spreadsheetml.tab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10.xml" ContentType="application/vnd.openxmlformats-officedocument.drawing+xml"/>
  <Override PartName="/xl/tables/table46.xml" ContentType="application/vnd.openxmlformats-officedocument.spreadsheetml.tab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11.xml" ContentType="application/vnd.openxmlformats-officedocument.drawing+xml"/>
  <Override PartName="/xl/tables/table47.xml" ContentType="application/vnd.openxmlformats-officedocument.spreadsheetml.tab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drawings/drawing12.xml" ContentType="application/vnd.openxmlformats-officedocument.drawing+xml"/>
  <Override PartName="/xl/tables/table48.xml" ContentType="application/vnd.openxmlformats-officedocument.spreadsheetml.tab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drawings/drawing13.xml" ContentType="application/vnd.openxmlformats-officedocument.drawing+xml"/>
  <Override PartName="/xl/tables/table49.xml" ContentType="application/vnd.openxmlformats-officedocument.spreadsheetml.tab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drawings/drawing14.xml" ContentType="application/vnd.openxmlformats-officedocument.drawing+xml"/>
  <Override PartName="/xl/tables/table50.xml" ContentType="application/vnd.openxmlformats-officedocument.spreadsheetml.tab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drawings/drawing15.xml" ContentType="application/vnd.openxmlformats-officedocument.drawing+xml"/>
  <Override PartName="/xl/tables/table51.xml" ContentType="application/vnd.openxmlformats-officedocument.spreadsheetml.tab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carlosk/Desktop/Placement Rate/June 26th/"/>
    </mc:Choice>
  </mc:AlternateContent>
  <xr:revisionPtr revIDLastSave="0" documentId="13_ncr:1_{08321DE6-562C-1B4C-B988-B90184B89262}" xr6:coauthVersionLast="47" xr6:coauthVersionMax="47" xr10:uidLastSave="{00000000-0000-0000-0000-000000000000}"/>
  <bookViews>
    <workbookView xWindow="0" yWindow="660" windowWidth="29020" windowHeight="18320" activeTab="1" xr2:uid="{412C759F-4CD3-4E4E-BD75-0142ACCA7E17}"/>
  </bookViews>
  <sheets>
    <sheet name="MSB Full-Time Dashboard" sheetId="2" r:id="rId1"/>
    <sheet name="NittyGrittySheet" sheetId="18" r:id="rId2"/>
    <sheet name="BSAcc" sheetId="19" r:id="rId3"/>
    <sheet name="BSEDM" sheetId="20" r:id="rId4"/>
    <sheet name="BSEnt" sheetId="21" r:id="rId5"/>
    <sheet name="BSFin" sheetId="22" r:id="rId6"/>
    <sheet name="BSGSCM" sheetId="23" r:id="rId7"/>
    <sheet name="BSHRM" sheetId="24" r:id="rId8"/>
    <sheet name="BSIS" sheetId="25" r:id="rId9"/>
    <sheet name="BSBusM" sheetId="26" r:id="rId10"/>
    <sheet name="BSMktg" sheetId="27" r:id="rId11"/>
    <sheet name="BSStrat" sheetId="28" r:id="rId12"/>
    <sheet name="MAcc" sheetId="29" r:id="rId13"/>
    <sheet name="MBA" sheetId="30" r:id="rId14"/>
    <sheet name="MISM" sheetId="31" r:id="rId15"/>
    <sheet name="MPA" sheetId="32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60" i="18" l="1"/>
  <c r="C8" i="18"/>
  <c r="D8" i="18" s="1"/>
  <c r="C7" i="18"/>
  <c r="D7" i="18" s="1"/>
  <c r="C6" i="18"/>
  <c r="D6" i="18" s="1"/>
  <c r="C5" i="18"/>
  <c r="D5" i="18" s="1"/>
  <c r="C4" i="18"/>
  <c r="D4" i="18" s="1"/>
</calcChain>
</file>

<file path=xl/sharedStrings.xml><?xml version="1.0" encoding="utf-8"?>
<sst xmlns="http://schemas.openxmlformats.org/spreadsheetml/2006/main" count="3416" uniqueCount="219">
  <si>
    <t>MSB Full-Time Dashboard Data</t>
  </si>
  <si>
    <t>Class of 2026</t>
  </si>
  <si>
    <t>Class of 2025</t>
  </si>
  <si>
    <t>Class of 2024</t>
  </si>
  <si>
    <t>Class of 2023</t>
  </si>
  <si>
    <t>Class of 2022</t>
  </si>
  <si>
    <t>Class of 2021</t>
  </si>
  <si>
    <t>Placement Month</t>
  </si>
  <si>
    <t>Accepted Offers</t>
  </si>
  <si>
    <t>Running Total</t>
  </si>
  <si>
    <t>% Placed</t>
  </si>
  <si>
    <t xml:space="preserve"> Month</t>
  </si>
  <si>
    <t>Total Students</t>
  </si>
  <si>
    <t>2025-08 or before</t>
  </si>
  <si>
    <t>2024-08 or before</t>
  </si>
  <si>
    <t>2023-08 or before</t>
  </si>
  <si>
    <t>2022-08 or before</t>
  </si>
  <si>
    <t>2021-08 or before</t>
  </si>
  <si>
    <t>2020-08 or before</t>
  </si>
  <si>
    <t>2025-09</t>
  </si>
  <si>
    <t>2024-09</t>
  </si>
  <si>
    <t>2023-09</t>
  </si>
  <si>
    <t>2022-09</t>
  </si>
  <si>
    <t>2021-09</t>
  </si>
  <si>
    <t>2020-09</t>
  </si>
  <si>
    <t>2025-10</t>
  </si>
  <si>
    <t>2024-10</t>
  </si>
  <si>
    <t>2023-10</t>
  </si>
  <si>
    <t>2022-10</t>
  </si>
  <si>
    <t>2021-10</t>
  </si>
  <si>
    <t>2020-10</t>
  </si>
  <si>
    <t>2025-11</t>
  </si>
  <si>
    <t>2024-11</t>
  </si>
  <si>
    <t>2023-11</t>
  </si>
  <si>
    <t>2022-11</t>
  </si>
  <si>
    <t>2021-11</t>
  </si>
  <si>
    <t>2020-11</t>
  </si>
  <si>
    <t>2025-12</t>
  </si>
  <si>
    <t>2024-12</t>
  </si>
  <si>
    <t>2023-12</t>
  </si>
  <si>
    <t>2022-12</t>
  </si>
  <si>
    <t>2021-12</t>
  </si>
  <si>
    <t>2020-12</t>
  </si>
  <si>
    <t>2026-01</t>
  </si>
  <si>
    <t>2025-01</t>
  </si>
  <si>
    <t>2024-01</t>
  </si>
  <si>
    <t>2023-01</t>
  </si>
  <si>
    <t>2022-01</t>
  </si>
  <si>
    <t>2021-01</t>
  </si>
  <si>
    <t>2026-02</t>
  </si>
  <si>
    <t>2025-02</t>
  </si>
  <si>
    <t>2024-02</t>
  </si>
  <si>
    <t>2023-02</t>
  </si>
  <si>
    <t>2022-02</t>
  </si>
  <si>
    <t>2021-02</t>
  </si>
  <si>
    <t>2026-03</t>
  </si>
  <si>
    <t>2025-03</t>
  </si>
  <si>
    <t>2024-03</t>
  </si>
  <si>
    <t>2023-03</t>
  </si>
  <si>
    <t>2022-03</t>
  </si>
  <si>
    <t>2021-03</t>
  </si>
  <si>
    <t>2026-04</t>
  </si>
  <si>
    <t>2025-04</t>
  </si>
  <si>
    <t>2024-04</t>
  </si>
  <si>
    <t>2023-04</t>
  </si>
  <si>
    <t>2022-04</t>
  </si>
  <si>
    <t>2021-04</t>
  </si>
  <si>
    <t>2026-05</t>
  </si>
  <si>
    <t>2025-05</t>
  </si>
  <si>
    <t>2024-05</t>
  </si>
  <si>
    <t>2023-05</t>
  </si>
  <si>
    <t>2022-05</t>
  </si>
  <si>
    <t>2021-05</t>
  </si>
  <si>
    <t>2026-06</t>
  </si>
  <si>
    <t>2025-06</t>
  </si>
  <si>
    <t>2024-06</t>
  </si>
  <si>
    <t>2023-06</t>
  </si>
  <si>
    <t>2022-06</t>
  </si>
  <si>
    <t>2021-06</t>
  </si>
  <si>
    <t>2026-07</t>
  </si>
  <si>
    <t>2025-07</t>
  </si>
  <si>
    <t>2024-07</t>
  </si>
  <si>
    <t>2023-07</t>
  </si>
  <si>
    <t>2022-07</t>
  </si>
  <si>
    <t>2021-07</t>
  </si>
  <si>
    <t>2026-08</t>
  </si>
  <si>
    <t>2025-08</t>
  </si>
  <si>
    <t>2024-08</t>
  </si>
  <si>
    <t>2023-08</t>
  </si>
  <si>
    <t>2022-08</t>
  </si>
  <si>
    <t>2021-08</t>
  </si>
  <si>
    <t>2026-09</t>
  </si>
  <si>
    <t>2026-10 past cutoff</t>
  </si>
  <si>
    <t>2025-10 past cutoff</t>
  </si>
  <si>
    <t>2024-10 past cutoff</t>
  </si>
  <si>
    <t>2023-10 past cutoff</t>
  </si>
  <si>
    <t>2022-10 past cutoff</t>
  </si>
  <si>
    <t>2021-10 past cutoff</t>
  </si>
  <si>
    <t>Total Pre-Cutoff</t>
  </si>
  <si>
    <t>Seeking Class</t>
  </si>
  <si>
    <t>2026 MSB Weekly Placement</t>
  </si>
  <si>
    <t>Placement</t>
  </si>
  <si>
    <t>10/13/2025</t>
  </si>
  <si>
    <t>10/17/2025</t>
  </si>
  <si>
    <t>10/24/2025</t>
  </si>
  <si>
    <t>10/31/2025</t>
  </si>
  <si>
    <t>11/7/2025</t>
  </si>
  <si>
    <t>11/14/2025</t>
  </si>
  <si>
    <t>11/21/2025</t>
  </si>
  <si>
    <t>11/28/2025</t>
  </si>
  <si>
    <t>12/5/2025</t>
  </si>
  <si>
    <t>12/12/2025</t>
  </si>
  <si>
    <t>12/19/2025</t>
  </si>
  <si>
    <t>12/26/2025</t>
  </si>
  <si>
    <t>1/2/2026</t>
  </si>
  <si>
    <t>1/9/2026</t>
  </si>
  <si>
    <t>1/16/2026</t>
  </si>
  <si>
    <t>1/23/2026</t>
  </si>
  <si>
    <t>1/30/2026</t>
  </si>
  <si>
    <t>2/6/2026</t>
  </si>
  <si>
    <t>2/13/2026</t>
  </si>
  <si>
    <t>2/20/2026</t>
  </si>
  <si>
    <t>2/27/2026</t>
  </si>
  <si>
    <t>3/13/2026</t>
  </si>
  <si>
    <t>3/20/2026</t>
  </si>
  <si>
    <t>3/27/2026</t>
  </si>
  <si>
    <t>Job Search Status</t>
  </si>
  <si>
    <t>Accepted an offer</t>
  </si>
  <si>
    <t>Actively seeking</t>
  </si>
  <si>
    <t>No Recent Information Available</t>
  </si>
  <si>
    <t>Not Reported</t>
  </si>
  <si>
    <t>Not seeking (continuing education)</t>
  </si>
  <si>
    <t>Not seeking (full-time homemaker/stay-at-home parent)</t>
  </si>
  <si>
    <t>Not seeking (other reasons)</t>
  </si>
  <si>
    <t>Not seeking (postponing job search for a specific reason)</t>
  </si>
  <si>
    <t>Not seeking (returning to a previous company)</t>
  </si>
  <si>
    <t>Not seeking (starting a new business as owner)</t>
  </si>
  <si>
    <t>Class Size</t>
  </si>
  <si>
    <t>BSAcc</t>
  </si>
  <si>
    <t>-</t>
  </si>
  <si>
    <t>BSEDM</t>
  </si>
  <si>
    <t>BSEnt</t>
  </si>
  <si>
    <t>BSFin</t>
  </si>
  <si>
    <t>BSGSCM</t>
  </si>
  <si>
    <t>BSHRM</t>
  </si>
  <si>
    <t>BSIS</t>
  </si>
  <si>
    <t>BSBusM</t>
  </si>
  <si>
    <t>BSMktg</t>
  </si>
  <si>
    <t>BSStrat</t>
  </si>
  <si>
    <t>MAcc</t>
  </si>
  <si>
    <t>MBA</t>
  </si>
  <si>
    <t>MISM</t>
  </si>
  <si>
    <t>MPA</t>
  </si>
  <si>
    <t>Weekly: MSB (All Programs) Class of 2026 Placement</t>
  </si>
  <si>
    <t>Monthly: MSB (All Programs) Historical Placement Comparison</t>
  </si>
  <si>
    <t>Placement % Comparison Table</t>
  </si>
  <si>
    <t>Month</t>
  </si>
  <si>
    <t>2026</t>
  </si>
  <si>
    <t>2025</t>
  </si>
  <si>
    <t>2024</t>
  </si>
  <si>
    <t>2023</t>
  </si>
  <si>
    <t>2022</t>
  </si>
  <si>
    <t>2021</t>
  </si>
  <si>
    <t>Aug</t>
  </si>
  <si>
    <t>Sept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</si>
  <si>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</si>
  <si>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</si>
  <si>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</si>
  <si>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</si>
  <si>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</si>
  <si>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</si>
  <si>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</si>
  <si>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</si>
  <si>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</si>
  <si>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</si>
  <si>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>August</t>
  </si>
  <si>
    <t>September</t>
  </si>
  <si>
    <t>Weekly: BSAcc Class of 2026 Placement</t>
  </si>
  <si>
    <t>Monthly: BSAcc Historical Placement Comparison</t>
  </si>
  <si>
    <t>Weekly: BSEDM Class of 2026 Placement</t>
  </si>
  <si>
    <t>Monthly: BSEDM Historical Placement Comparison</t>
  </si>
  <si>
    <t>Weekly: BSEnt Class of 2026 Placement</t>
  </si>
  <si>
    <t>Monthly: BSEnt Historical Placement Comparison</t>
  </si>
  <si>
    <t>Weekly: BSFin Class of 2026 Placement</t>
  </si>
  <si>
    <t>Monthly: BSFin Historical Placement Comparison</t>
  </si>
  <si>
    <t>Weekly: BSGSCM Class of 2026 Placement</t>
  </si>
  <si>
    <t>Monthly: BSGSCM Historical Placement Comparison</t>
  </si>
  <si>
    <t>Weekly: BSHRM Class of 2026 Placement</t>
  </si>
  <si>
    <t>Monthly: BSHRM Historical Placement Comparison</t>
  </si>
  <si>
    <t>Weekly: BSIS Class of 2026 Placement</t>
  </si>
  <si>
    <t>Monthly: BSIS Historical Placement Comparison</t>
  </si>
  <si>
    <t>Weekly: BSBusM Class of 2026 Placement</t>
  </si>
  <si>
    <t>Monthly: BSBusM Historical Placement Comparison</t>
  </si>
  <si>
    <t>Weekly: BSMktg Class of 2026 Placement</t>
  </si>
  <si>
    <t>Monthly: BSMktg Historical Placement Comparison</t>
  </si>
  <si>
    <t>Weekly: BSStrat Class of 2026 Placement</t>
  </si>
  <si>
    <t>Monthly: BSStrat Historical Placement Comparison</t>
  </si>
  <si>
    <t>Weekly: MAcc Class of 2026 Placement</t>
  </si>
  <si>
    <t>Monthly: MAcc Historical Placement Comparison</t>
  </si>
  <si>
    <t>Weekly: MBA Class of 2026 Placement</t>
  </si>
  <si>
    <t>Monthly: MBA Historical Placement Comparison</t>
  </si>
  <si>
    <t>Weekly: MISM Class of 2026 Placement</t>
  </si>
  <si>
    <t>Monthly: MISM Historical Placement Comparison</t>
  </si>
  <si>
    <t>Weekly: MPA Class of 2026 Placement</t>
  </si>
  <si>
    <t>Monthly: MPA Historical Placement Comparison</t>
  </si>
  <si>
    <t>4/3/2026</t>
  </si>
  <si>
    <t>4/10/2026</t>
  </si>
  <si>
    <t>4/17/2026</t>
  </si>
  <si>
    <t>4/24/2026</t>
  </si>
  <si>
    <t>NOTE: Placement % is measured at the END of each month</t>
  </si>
  <si>
    <t>5/1/2026</t>
  </si>
  <si>
    <t>5/8/2026</t>
  </si>
  <si>
    <t>5/15/2026</t>
  </si>
  <si>
    <t>5/22/2026</t>
  </si>
  <si>
    <t>05/29/2026</t>
  </si>
  <si>
    <t>6/5/2026</t>
  </si>
  <si>
    <t>6/12/2026</t>
  </si>
  <si>
    <t>6/19/2026</t>
  </si>
  <si>
    <t>6/26/2026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</si>
</sst>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"/>
  </numFmts>
  <fonts count="15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8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4"/>
      <color theme="1" tint="0.249977111117893"/>
      <name val="Aptos Narrow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D9D9D9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D9D9D9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D9D9D9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D9D9D9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D9D9D9"/>
      </patternFill>
    </fill>
    <fill>
      <patternFill patternType="solid">
        <fgColor rgb="FFC0E7F5"/>
        <bgColor indexed="64"/>
      </patternFill>
    </fill>
    <fill>
      <patternFill patternType="solid">
        <fgColor rgb="FFC0E7F5"/>
        <bgColor rgb="FFDCE6F1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82CCEC"/>
        <bgColor indexed="64"/>
      </patternFill>
    </fill>
    <fill>
      <patternFill patternType="solid">
        <fgColor rgb="FFF48968"/>
        <bgColor indexed="64"/>
      </patternFill>
    </fill>
  </fills>
  <borders count="2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/>
      <bottom style="thin">
        <color rgb="FFFFFFFF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rgb="FF000000"/>
      </right>
      <top style="thin">
        <color rgb="FF000000"/>
      </top>
      <bottom style="thin">
        <color rgb="FF156082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theme="4"/>
      </bottom>
      <diagonal/>
    </border>
    <border>
      <left style="thin">
        <color theme="0"/>
      </left>
      <right/>
      <top/>
      <bottom/>
      <diagonal/>
    </border>
  </borders>
  <cellStyleXfs count="3">
    <xf numFmtId="0" fontId="0" fillId="0" borderId="0"/>
    <xf numFmtId="9" fontId="9" fillId="0" borderId="0" applyFont="0" applyFill="0" applyBorder="0" applyAlignment="0" applyProtection="0"/>
    <xf numFmtId="44" fontId="9" fillId="0" borderId="0" applyFont="0" applyFill="0" applyBorder="0" applyAlignment="0" applyProtection="0"/>
  </cellStyleXfs>
  <cellXfs count="95">
    <xf numFmtId="0" fontId="0" fillId="0" borderId="0" xfId="0"/>
    <xf numFmtId="0" fontId="1" fillId="0" borderId="0" xfId="0" applyFont="1"/>
    <xf numFmtId="10" fontId="2" fillId="0" borderId="0" xfId="0" applyNumberFormat="1" applyFont="1"/>
    <xf numFmtId="10" fontId="2" fillId="0" borderId="0" xfId="0" applyNumberFormat="1" applyFont="1" applyAlignment="1">
      <alignment horizontal="right"/>
    </xf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1" fillId="0" borderId="3" xfId="0" applyFont="1" applyBorder="1"/>
    <xf numFmtId="0" fontId="2" fillId="0" borderId="4" xfId="0" applyFont="1" applyBorder="1"/>
    <xf numFmtId="0" fontId="2" fillId="0" borderId="0" xfId="0" applyFont="1" applyAlignment="1">
      <alignment horizontal="right"/>
    </xf>
    <xf numFmtId="0" fontId="4" fillId="0" borderId="1" xfId="0" applyFont="1" applyBorder="1"/>
    <xf numFmtId="0" fontId="4" fillId="0" borderId="2" xfId="0" applyFont="1" applyBorder="1"/>
    <xf numFmtId="0" fontId="3" fillId="0" borderId="0" xfId="0" applyFont="1"/>
    <xf numFmtId="14" fontId="3" fillId="0" borderId="0" xfId="0" applyNumberFormat="1" applyFont="1"/>
    <xf numFmtId="10" fontId="4" fillId="0" borderId="0" xfId="0" applyNumberFormat="1" applyFont="1"/>
    <xf numFmtId="10" fontId="4" fillId="0" borderId="0" xfId="0" applyNumberFormat="1" applyFont="1" applyAlignment="1">
      <alignment horizontal="right"/>
    </xf>
    <xf numFmtId="0" fontId="4" fillId="0" borderId="0" xfId="0" applyFont="1"/>
    <xf numFmtId="0" fontId="3" fillId="0" borderId="5" xfId="0" applyFont="1" applyBorder="1"/>
    <xf numFmtId="0" fontId="4" fillId="0" borderId="6" xfId="0" applyFont="1" applyBorder="1"/>
    <xf numFmtId="0" fontId="4" fillId="0" borderId="0" xfId="0" applyFont="1" applyAlignment="1">
      <alignment horizontal="right"/>
    </xf>
    <xf numFmtId="0" fontId="2" fillId="0" borderId="5" xfId="0" applyFont="1" applyBorder="1"/>
    <xf numFmtId="0" fontId="2" fillId="0" borderId="5" xfId="0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0" xfId="0" applyFont="1" applyAlignment="1">
      <alignment vertical="center" wrapText="1"/>
    </xf>
    <xf numFmtId="10" fontId="2" fillId="0" borderId="5" xfId="0" applyNumberFormat="1" applyFont="1" applyBorder="1"/>
    <xf numFmtId="0" fontId="2" fillId="0" borderId="7" xfId="0" applyFont="1" applyBorder="1"/>
    <xf numFmtId="0" fontId="2" fillId="0" borderId="3" xfId="0" applyFont="1" applyBorder="1"/>
    <xf numFmtId="0" fontId="6" fillId="0" borderId="0" xfId="0" applyFont="1"/>
    <xf numFmtId="0" fontId="7" fillId="0" borderId="0" xfId="0" applyFont="1"/>
    <xf numFmtId="0" fontId="10" fillId="0" borderId="0" xfId="0" applyFont="1"/>
    <xf numFmtId="10" fontId="2" fillId="2" borderId="0" xfId="0" applyNumberFormat="1" applyFont="1" applyFill="1" applyAlignment="1">
      <alignment horizontal="right"/>
    </xf>
    <xf numFmtId="37" fontId="2" fillId="0" borderId="0" xfId="2" applyNumberFormat="1" applyFont="1" applyFill="1"/>
    <xf numFmtId="37" fontId="2" fillId="0" borderId="0" xfId="2" applyNumberFormat="1" applyFont="1" applyFill="1" applyBorder="1"/>
    <xf numFmtId="0" fontId="7" fillId="0" borderId="0" xfId="0" applyFont="1" applyAlignment="1">
      <alignment horizontal="center"/>
    </xf>
    <xf numFmtId="10" fontId="7" fillId="0" borderId="0" xfId="0" applyNumberFormat="1" applyFont="1" applyAlignment="1">
      <alignment horizontal="center"/>
    </xf>
    <xf numFmtId="0" fontId="8" fillId="0" borderId="0" xfId="0" applyFont="1"/>
    <xf numFmtId="0" fontId="11" fillId="0" borderId="0" xfId="0" applyFont="1"/>
    <xf numFmtId="0" fontId="11" fillId="0" borderId="0" xfId="0" applyFont="1" applyAlignment="1">
      <alignment horizontal="left"/>
    </xf>
    <xf numFmtId="10" fontId="0" fillId="3" borderId="8" xfId="1" applyNumberFormat="1" applyFont="1" applyFill="1" applyBorder="1"/>
    <xf numFmtId="10" fontId="7" fillId="5" borderId="8" xfId="0" applyNumberFormat="1" applyFont="1" applyFill="1" applyBorder="1" applyAlignment="1">
      <alignment horizontal="center"/>
    </xf>
    <xf numFmtId="10" fontId="7" fillId="7" borderId="8" xfId="0" applyNumberFormat="1" applyFont="1" applyFill="1" applyBorder="1" applyAlignment="1">
      <alignment horizontal="center"/>
    </xf>
    <xf numFmtId="10" fontId="7" fillId="9" borderId="8" xfId="0" applyNumberFormat="1" applyFont="1" applyFill="1" applyBorder="1" applyAlignment="1">
      <alignment horizontal="center"/>
    </xf>
    <xf numFmtId="10" fontId="7" fillId="11" borderId="8" xfId="0" applyNumberFormat="1" applyFont="1" applyFill="1" applyBorder="1" applyAlignment="1">
      <alignment horizontal="center"/>
    </xf>
    <xf numFmtId="10" fontId="0" fillId="3" borderId="9" xfId="1" applyNumberFormat="1" applyFont="1" applyFill="1" applyBorder="1"/>
    <xf numFmtId="10" fontId="7" fillId="4" borderId="9" xfId="0" applyNumberFormat="1" applyFont="1" applyFill="1" applyBorder="1" applyAlignment="1">
      <alignment horizontal="center"/>
    </xf>
    <xf numFmtId="10" fontId="7" fillId="6" borderId="9" xfId="0" applyNumberFormat="1" applyFont="1" applyFill="1" applyBorder="1" applyAlignment="1">
      <alignment horizontal="center"/>
    </xf>
    <xf numFmtId="10" fontId="7" fillId="8" borderId="9" xfId="0" applyNumberFormat="1" applyFont="1" applyFill="1" applyBorder="1" applyAlignment="1">
      <alignment horizontal="center"/>
    </xf>
    <xf numFmtId="10" fontId="7" fillId="10" borderId="9" xfId="0" applyNumberFormat="1" applyFont="1" applyFill="1" applyBorder="1" applyAlignment="1">
      <alignment horizontal="center"/>
    </xf>
    <xf numFmtId="10" fontId="7" fillId="5" borderId="9" xfId="0" applyNumberFormat="1" applyFont="1" applyFill="1" applyBorder="1" applyAlignment="1">
      <alignment horizontal="center"/>
    </xf>
    <xf numFmtId="10" fontId="7" fillId="7" borderId="9" xfId="0" applyNumberFormat="1" applyFont="1" applyFill="1" applyBorder="1" applyAlignment="1">
      <alignment horizontal="center"/>
    </xf>
    <xf numFmtId="10" fontId="7" fillId="9" borderId="9" xfId="0" applyNumberFormat="1" applyFont="1" applyFill="1" applyBorder="1" applyAlignment="1">
      <alignment horizontal="center"/>
    </xf>
    <xf numFmtId="10" fontId="7" fillId="11" borderId="9" xfId="0" applyNumberFormat="1" applyFont="1" applyFill="1" applyBorder="1" applyAlignment="1">
      <alignment horizontal="center"/>
    </xf>
    <xf numFmtId="10" fontId="2" fillId="3" borderId="9" xfId="0" applyNumberFormat="1" applyFont="1" applyFill="1" applyBorder="1"/>
    <xf numFmtId="0" fontId="12" fillId="0" borderId="0" xfId="0" applyFont="1"/>
    <xf numFmtId="0" fontId="13" fillId="0" borderId="0" xfId="0" applyFont="1"/>
    <xf numFmtId="0" fontId="0" fillId="3" borderId="0" xfId="0" applyFill="1" applyAlignment="1">
      <alignment horizontal="left"/>
    </xf>
    <xf numFmtId="0" fontId="8" fillId="4" borderId="0" xfId="0" applyFont="1" applyFill="1" applyAlignment="1">
      <alignment horizontal="left"/>
    </xf>
    <xf numFmtId="0" fontId="0" fillId="6" borderId="0" xfId="0" applyFill="1"/>
    <xf numFmtId="0" fontId="0" fillId="8" borderId="0" xfId="0" applyFill="1"/>
    <xf numFmtId="0" fontId="0" fillId="10" borderId="0" xfId="0" applyFill="1"/>
    <xf numFmtId="0" fontId="0" fillId="0" borderId="10" xfId="0" applyBorder="1"/>
    <xf numFmtId="0" fontId="14" fillId="0" borderId="11" xfId="0" applyFont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3" xfId="0" applyBorder="1" applyAlignment="1">
      <alignment horizontal="left"/>
    </xf>
    <xf numFmtId="0" fontId="0" fillId="12" borderId="14" xfId="0" applyFill="1" applyBorder="1"/>
    <xf numFmtId="0" fontId="0" fillId="0" borderId="15" xfId="0" applyBorder="1"/>
    <xf numFmtId="10" fontId="7" fillId="13" borderId="16" xfId="0" applyNumberFormat="1" applyFont="1" applyFill="1" applyBorder="1" applyAlignment="1">
      <alignment horizontal="center"/>
    </xf>
    <xf numFmtId="0" fontId="0" fillId="0" borderId="17" xfId="0" applyBorder="1"/>
    <xf numFmtId="10" fontId="7" fillId="12" borderId="18" xfId="0" applyNumberFormat="1" applyFont="1" applyFill="1" applyBorder="1" applyAlignment="1">
      <alignment horizontal="center"/>
    </xf>
    <xf numFmtId="10" fontId="7" fillId="13" borderId="18" xfId="0" applyNumberFormat="1" applyFont="1" applyFill="1" applyBorder="1" applyAlignment="1">
      <alignment horizontal="center"/>
    </xf>
    <xf numFmtId="1" fontId="2" fillId="0" borderId="0" xfId="2" applyNumberFormat="1" applyFont="1" applyFill="1"/>
    <xf numFmtId="1" fontId="2" fillId="0" borderId="0" xfId="2" applyNumberFormat="1" applyFont="1" applyFill="1" applyBorder="1"/>
    <xf numFmtId="2" fontId="0" fillId="0" borderId="0" xfId="0" applyNumberFormat="1"/>
    <xf numFmtId="0" fontId="2" fillId="0" borderId="0" xfId="2" applyNumberFormat="1" applyFont="1" applyFill="1"/>
    <xf numFmtId="0" fontId="2" fillId="0" borderId="0" xfId="2" applyNumberFormat="1" applyFont="1" applyFill="1" applyBorder="1"/>
    <xf numFmtId="10" fontId="0" fillId="0" borderId="0" xfId="0" applyNumberFormat="1"/>
    <xf numFmtId="1" fontId="2" fillId="0" borderId="0" xfId="0" applyNumberFormat="1" applyFont="1"/>
    <xf numFmtId="164" fontId="3" fillId="0" borderId="0" xfId="0" applyNumberFormat="1" applyFont="1"/>
    <xf numFmtId="10" fontId="2" fillId="14" borderId="0" xfId="0" applyNumberFormat="1" applyFont="1" applyFill="1"/>
    <xf numFmtId="10" fontId="2" fillId="15" borderId="0" xfId="0" applyNumberFormat="1" applyFont="1" applyFill="1"/>
    <xf numFmtId="10" fontId="2" fillId="15" borderId="0" xfId="0" applyNumberFormat="1" applyFont="1" applyFill="1" applyAlignment="1">
      <alignment horizontal="right"/>
    </xf>
    <xf numFmtId="164" fontId="3" fillId="0" borderId="20" xfId="0" applyNumberFormat="1" applyFont="1" applyBorder="1"/>
    <xf numFmtId="10" fontId="0" fillId="0" borderId="21" xfId="0" applyNumberFormat="1" applyBorder="1" applyAlignment="1">
      <alignment horizontal="right"/>
    </xf>
    <xf numFmtId="10" fontId="0" fillId="16" borderId="19" xfId="0" applyNumberFormat="1" applyFill="1" applyBorder="1" applyAlignment="1">
      <alignment horizontal="right"/>
    </xf>
    <xf numFmtId="10" fontId="0" fillId="0" borderId="0" xfId="0" applyNumberFormat="1" applyAlignment="1">
      <alignment horizontal="right"/>
    </xf>
    <xf numFmtId="164" fontId="3" fillId="0" borderId="22" xfId="0" applyNumberFormat="1" applyFont="1" applyBorder="1"/>
    <xf numFmtId="10" fontId="0" fillId="17" borderId="9" xfId="1" applyNumberFormat="1" applyFont="1" applyFill="1" applyBorder="1"/>
    <xf numFmtId="10" fontId="0" fillId="0" borderId="0" xfId="1" applyNumberFormat="1" applyFont="1" applyAlignment="1">
      <alignment horizontal="right"/>
    </xf>
    <xf numFmtId="14" fontId="0" fillId="0" borderId="0" xfId="0" applyNumberFormat="1"/>
    <xf numFmtId="10" fontId="0" fillId="18" borderId="9" xfId="1" applyNumberFormat="1" applyFont="1" applyFill="1" applyBorder="1"/>
    <xf numFmtId="10" fontId="0" fillId="0" borderId="0" xfId="1" applyNumberFormat="1" applyFont="1" applyFill="1" applyAlignment="1">
      <alignment horizontal="right"/>
    </xf>
    <xf numFmtId="10" fontId="0" fillId="0" borderId="23" xfId="0" applyNumberFormat="1" applyBorder="1" applyAlignment="1">
      <alignment horizontal="right"/>
    </xf>
  </cellXfs>
  <cellStyles count="3">
    <cellStyle name="Currency" xfId="2" builtinId="4"/>
    <cellStyle name="Normal" xfId="0" builtinId="0"/>
    <cellStyle name="Percent" xfId="1" builtinId="5"/>
  </cellStyles>
  <dxfs count="138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numFmt numFmtId="14" formatCode="0.00%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numFmt numFmtId="14" formatCode="0.00%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numFmt numFmtId="14" formatCode="0.00%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numFmt numFmtId="14" formatCode="0.00%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numFmt numFmtId="14" formatCode="0.00%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numFmt numFmtId="14" formatCode="0.00%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numFmt numFmtId="14" formatCode="0.00%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numFmt numFmtId="14" formatCode="0.00%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fgColor rgb="FFDCE6F1"/>
          <bgColor rgb="FFC0E7F5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5" formatCode="#,##0_);\(#,##0\)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/d/yyyy"/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ill>
        <patternFill>
          <bgColor rgb="FFC0E7F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/d/yyyy"/>
      <fill>
        <patternFill patternType="none">
          <fgColor rgb="FF000000"/>
          <bgColor rgb="FFC0E7F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/d/yyyy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/d/yyyy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/d/yyyy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/d/yyyy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/d/yyyy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/d/yyyy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/d/yyyy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/d/yyyy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/d/yyyy"/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bgColor auto="1"/>
        </patternFill>
      </fill>
    </dxf>
    <dxf>
      <border outline="0"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border outline="0">
        <bottom style="thin">
          <color rgb="FF000000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48968"/>
      <color rgb="FF82CCEC"/>
      <color rgb="FFFF8171"/>
      <color rgb="FFFE8171"/>
      <color rgb="FFC0E7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2026</a:t>
            </a:r>
            <a:r>
              <a:rPr lang="en-US" baseline="0"/>
              <a:t> Placement Trend</a:t>
            </a:r>
            <a:endParaRPr lang="en-US"/>
          </a:p>
        </c:rich>
      </c:tx>
      <c:layout>
        <c:manualLayout>
          <c:xMode val="edge"/>
          <c:yMode val="edge"/>
          <c:x val="4.8943994067928077E-2"/>
          <c:y val="2.47994414759186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NittyGrittySheet!$A$24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NittyGrittySheet!$B$23:$AL$23</c:f>
              <c:strCache>
                <c:ptCount val="37"/>
                <c:pt idx="0">
                  <c:v>10/13/2025</c:v>
                </c:pt>
                <c:pt idx="1">
                  <c:v>10/17/2025</c:v>
                </c:pt>
                <c:pt idx="2">
                  <c:v>10/24/2025</c:v>
                </c:pt>
                <c:pt idx="3">
                  <c:v>10/31/2025</c:v>
                </c:pt>
                <c:pt idx="4">
                  <c:v>11/7/2025</c:v>
                </c:pt>
                <c:pt idx="5">
                  <c:v>11/14/2025</c:v>
                </c:pt>
                <c:pt idx="6">
                  <c:v>11/21/2025</c:v>
                </c:pt>
                <c:pt idx="7">
                  <c:v>11/28/2025</c:v>
                </c:pt>
                <c:pt idx="8">
                  <c:v>12/5/2025</c:v>
                </c:pt>
                <c:pt idx="9">
                  <c:v>12/12/2025</c:v>
                </c:pt>
                <c:pt idx="10">
                  <c:v>12/19/2025</c:v>
                </c:pt>
                <c:pt idx="11">
                  <c:v>12/26/2025</c:v>
                </c:pt>
                <c:pt idx="12">
                  <c:v>1/2/2026</c:v>
                </c:pt>
                <c:pt idx="13">
                  <c:v>1/9/2026</c:v>
                </c:pt>
                <c:pt idx="14">
                  <c:v>1/16/2026</c:v>
                </c:pt>
                <c:pt idx="15">
                  <c:v>1/23/2026</c:v>
                </c:pt>
                <c:pt idx="16">
                  <c:v>1/30/2026</c:v>
                </c:pt>
                <c:pt idx="17">
                  <c:v>2/6/2026</c:v>
                </c:pt>
                <c:pt idx="18">
                  <c:v>2/13/2026</c:v>
                </c:pt>
                <c:pt idx="19">
                  <c:v>2/20/2026</c:v>
                </c:pt>
                <c:pt idx="20">
                  <c:v>2/27/2026</c:v>
                </c:pt>
                <c:pt idx="21">
                  <c:v>3/13/2026</c:v>
                </c:pt>
                <c:pt idx="22">
                  <c:v>3/20/2026</c:v>
                </c:pt>
                <c:pt idx="23">
                  <c:v>3/27/2026</c:v>
                </c:pt>
                <c:pt idx="24">
                  <c:v>4/3/2026</c:v>
                </c:pt>
                <c:pt idx="25">
                  <c:v>4/10/2026</c:v>
                </c:pt>
                <c:pt idx="26">
                  <c:v>4/17/2026</c:v>
                </c:pt>
                <c:pt idx="27">
                  <c:v>4/24/2026</c:v>
                </c:pt>
                <c:pt idx="28">
                  <c:v>5/1/2026</c:v>
                </c:pt>
                <c:pt idx="29">
                  <c:v>5/8/2026</c:v>
                </c:pt>
                <c:pt idx="30">
                  <c:v>5/15/2026</c:v>
                </c:pt>
                <c:pt idx="31">
                  <c:v>5/22/2026</c:v>
                </c:pt>
                <c:pt idx="32">
                  <c:v>05/29/2026</c:v>
                </c:pt>
                <c:pt idx="33">
                  <c:v>6/5/2026</c:v>
                </c:pt>
                <c:pt idx="34">
                  <c:v>6/12/2026</c:v>
                </c:pt>
                <c:pt idx="35">
                  <c:v>6/19/2026</c:v>
                </c:pt>
                <c:pt idx="36">
                  <c:v>6/26/2026</c:v>
                </c:pt>
              </c:strCache>
            </c:strRef>
          </c:cat>
          <c:val>
            <c:numRef>
              <c:f>NittyGrittySheet!$B$24:$AL$24</c:f>
              <c:numCache>
                <c:formatCode>0.00%</c:formatCode>
                <c:ptCount val="37"/>
                <c:pt idx="0">
                  <c:v>0.19320000000000001</c:v>
                </c:pt>
                <c:pt idx="1">
                  <c:v>0.19439999999999999</c:v>
                </c:pt>
                <c:pt idx="2">
                  <c:v>0.21529999999999999</c:v>
                </c:pt>
                <c:pt idx="3">
                  <c:v>0.24410000000000001</c:v>
                </c:pt>
                <c:pt idx="4">
                  <c:v>0.25679999999999997</c:v>
                </c:pt>
                <c:pt idx="5">
                  <c:v>0.27129999999999999</c:v>
                </c:pt>
                <c:pt idx="6">
                  <c:v>0.28649999999999998</c:v>
                </c:pt>
                <c:pt idx="7">
                  <c:v>0.29120000000000001</c:v>
                </c:pt>
                <c:pt idx="8">
                  <c:v>0.3105</c:v>
                </c:pt>
                <c:pt idx="9">
                  <c:v>0.33510000000000001</c:v>
                </c:pt>
                <c:pt idx="10">
                  <c:v>0.3422</c:v>
                </c:pt>
                <c:pt idx="11">
                  <c:v>0.34300000000000003</c:v>
                </c:pt>
                <c:pt idx="12">
                  <c:v>0.35589999999999999</c:v>
                </c:pt>
                <c:pt idx="13">
                  <c:v>0.38009999999999999</c:v>
                </c:pt>
                <c:pt idx="14">
                  <c:v>0.40350000000000003</c:v>
                </c:pt>
                <c:pt idx="15">
                  <c:v>0.42349999999999999</c:v>
                </c:pt>
                <c:pt idx="16">
                  <c:v>0.44479999999999997</c:v>
                </c:pt>
                <c:pt idx="17">
                  <c:v>0.45629999999999998</c:v>
                </c:pt>
                <c:pt idx="18">
                  <c:v>0.47889999999999999</c:v>
                </c:pt>
                <c:pt idx="19">
                  <c:v>0.48730000000000001</c:v>
                </c:pt>
                <c:pt idx="20">
                  <c:v>0.50460000000000005</c:v>
                </c:pt>
                <c:pt idx="21">
                  <c:v>0.54059999999999997</c:v>
                </c:pt>
                <c:pt idx="22">
                  <c:v>0.56110000000000004</c:v>
                </c:pt>
                <c:pt idx="23">
                  <c:v>0.58179999999999998</c:v>
                </c:pt>
                <c:pt idx="24">
                  <c:v>0.61229999999999996</c:v>
                </c:pt>
                <c:pt idx="25">
                  <c:v>0.65620000000000001</c:v>
                </c:pt>
                <c:pt idx="26">
                  <c:v>0.68679999999999997</c:v>
                </c:pt>
                <c:pt idx="27">
                  <c:v>0.70650000000000002</c:v>
                </c:pt>
                <c:pt idx="28">
                  <c:v>0.71860000000000002</c:v>
                </c:pt>
                <c:pt idx="29">
                  <c:v>0.73740000000000006</c:v>
                </c:pt>
                <c:pt idx="30">
                  <c:v>0.75459999999999994</c:v>
                </c:pt>
                <c:pt idx="31">
                  <c:v>0.77900000000000003</c:v>
                </c:pt>
                <c:pt idx="32">
                  <c:v>0.7913</c:v>
                </c:pt>
                <c:pt idx="33">
                  <c:v>0.81579999999999997</c:v>
                </c:pt>
                <c:pt idx="34">
                  <c:v>0.84120000000000006</c:v>
                </c:pt>
                <c:pt idx="35">
                  <c:v>0.84810000000000008</c:v>
                </c:pt>
                <c:pt idx="36">
                  <c:v>0.85809999999999997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0A-46CF-A272-E573FDA459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</a:t>
                </a:r>
                <a:r>
                  <a:rPr lang="en-US" baseline="0"/>
                  <a:t> Students Placed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2026 Search Status</a:t>
            </a:r>
          </a:p>
        </c:rich>
      </c:tx>
      <c:layout>
        <c:manualLayout>
          <c:xMode val="edge"/>
          <c:yMode val="edge"/>
          <c:x val="4.6520703534140041E-2"/>
          <c:y val="2.45178683127813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NittyGrittySheet!$A$27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NittyGrittySheet!$B$26:$AL$26</c:f>
              <c:strCache>
                <c:ptCount val="37"/>
                <c:pt idx="0">
                  <c:v>10/13/2025</c:v>
                </c:pt>
                <c:pt idx="1">
                  <c:v>10/17/2025</c:v>
                </c:pt>
                <c:pt idx="2">
                  <c:v>10/24/2025</c:v>
                </c:pt>
                <c:pt idx="3">
                  <c:v>10/31/2025</c:v>
                </c:pt>
                <c:pt idx="4">
                  <c:v>11/7/2025</c:v>
                </c:pt>
                <c:pt idx="5">
                  <c:v>11/14/2025</c:v>
                </c:pt>
                <c:pt idx="6">
                  <c:v>11/21/2025</c:v>
                </c:pt>
                <c:pt idx="7">
                  <c:v>11/28/2025</c:v>
                </c:pt>
                <c:pt idx="8">
                  <c:v>12/5/2025</c:v>
                </c:pt>
                <c:pt idx="9">
                  <c:v>12/12/2025</c:v>
                </c:pt>
                <c:pt idx="10">
                  <c:v>12/19/2025</c:v>
                </c:pt>
                <c:pt idx="11">
                  <c:v>12/26/2025</c:v>
                </c:pt>
                <c:pt idx="12">
                  <c:v>1/2/2026</c:v>
                </c:pt>
                <c:pt idx="13">
                  <c:v>1/9/2026</c:v>
                </c:pt>
                <c:pt idx="14">
                  <c:v>1/16/2026</c:v>
                </c:pt>
                <c:pt idx="15">
                  <c:v>1/23/2026</c:v>
                </c:pt>
                <c:pt idx="16">
                  <c:v>1/30/2026</c:v>
                </c:pt>
                <c:pt idx="17">
                  <c:v>2/6/2026</c:v>
                </c:pt>
                <c:pt idx="18">
                  <c:v>2/13/2026</c:v>
                </c:pt>
                <c:pt idx="19">
                  <c:v>2/20/2026</c:v>
                </c:pt>
                <c:pt idx="20">
                  <c:v>2/27/2026</c:v>
                </c:pt>
                <c:pt idx="21">
                  <c:v>3/13/2026</c:v>
                </c:pt>
                <c:pt idx="22">
                  <c:v>3/20/2026</c:v>
                </c:pt>
                <c:pt idx="23">
                  <c:v>3/27/2026</c:v>
                </c:pt>
                <c:pt idx="24">
                  <c:v>4/3/2026</c:v>
                </c:pt>
                <c:pt idx="25">
                  <c:v>4/10/2026</c:v>
                </c:pt>
                <c:pt idx="26">
                  <c:v>4/17/2026</c:v>
                </c:pt>
                <c:pt idx="27">
                  <c:v>4/24/2026</c:v>
                </c:pt>
                <c:pt idx="28">
                  <c:v>5/1/2026</c:v>
                </c:pt>
                <c:pt idx="29">
                  <c:v>5/8/2026</c:v>
                </c:pt>
                <c:pt idx="30">
                  <c:v>5/15/2026</c:v>
                </c:pt>
                <c:pt idx="31">
                  <c:v>5/22/2026</c:v>
                </c:pt>
                <c:pt idx="32">
                  <c:v>05/29/2026</c:v>
                </c:pt>
                <c:pt idx="33">
                  <c:v>6/5/2026</c:v>
                </c:pt>
                <c:pt idx="34">
                  <c:v>6/12/2026</c:v>
                </c:pt>
                <c:pt idx="35">
                  <c:v>6/19/2026</c:v>
                </c:pt>
                <c:pt idx="36">
                  <c:v>6/26/2026</c:v>
                </c:pt>
              </c:strCache>
            </c:strRef>
          </c:cat>
          <c:val>
            <c:numRef>
              <c:f>NittyGrittySheet!$B$27:$AL$27</c:f>
              <c:numCache>
                <c:formatCode>General</c:formatCode>
                <c:ptCount val="37"/>
                <c:pt idx="0">
                  <c:v>345</c:v>
                </c:pt>
                <c:pt idx="1">
                  <c:v>346</c:v>
                </c:pt>
                <c:pt idx="2">
                  <c:v>383</c:v>
                </c:pt>
                <c:pt idx="3">
                  <c:v>434</c:v>
                </c:pt>
                <c:pt idx="4">
                  <c:v>454</c:v>
                </c:pt>
                <c:pt idx="5">
                  <c:v>472</c:v>
                </c:pt>
                <c:pt idx="6">
                  <c:v>499</c:v>
                </c:pt>
                <c:pt idx="7">
                  <c:v>504</c:v>
                </c:pt>
                <c:pt idx="8">
                  <c:v>534</c:v>
                </c:pt>
                <c:pt idx="9">
                  <c:v>580</c:v>
                </c:pt>
                <c:pt idx="10">
                  <c:v>592</c:v>
                </c:pt>
                <c:pt idx="11">
                  <c:v>594</c:v>
                </c:pt>
                <c:pt idx="12">
                  <c:v>614</c:v>
                </c:pt>
                <c:pt idx="13">
                  <c:v>656</c:v>
                </c:pt>
                <c:pt idx="14">
                  <c:v>692</c:v>
                </c:pt>
                <c:pt idx="15" formatCode="#,##0_);\(#,##0\)">
                  <c:v>722</c:v>
                </c:pt>
                <c:pt idx="16" formatCode="0">
                  <c:v>753</c:v>
                </c:pt>
                <c:pt idx="17">
                  <c:v>768</c:v>
                </c:pt>
                <c:pt idx="18">
                  <c:v>794</c:v>
                </c:pt>
                <c:pt idx="19">
                  <c:v>804</c:v>
                </c:pt>
                <c:pt idx="20">
                  <c:v>825</c:v>
                </c:pt>
                <c:pt idx="21">
                  <c:v>872</c:v>
                </c:pt>
                <c:pt idx="22">
                  <c:v>895</c:v>
                </c:pt>
                <c:pt idx="23">
                  <c:v>910</c:v>
                </c:pt>
                <c:pt idx="24">
                  <c:v>935</c:v>
                </c:pt>
                <c:pt idx="25" formatCode="0">
                  <c:v>983</c:v>
                </c:pt>
                <c:pt idx="26" formatCode="0">
                  <c:v>1013</c:v>
                </c:pt>
                <c:pt idx="27" formatCode="0">
                  <c:v>1028</c:v>
                </c:pt>
                <c:pt idx="28" formatCode="0">
                  <c:v>1042</c:v>
                </c:pt>
                <c:pt idx="29">
                  <c:v>1056</c:v>
                </c:pt>
                <c:pt idx="30">
                  <c:v>1064</c:v>
                </c:pt>
                <c:pt idx="31">
                  <c:v>1093</c:v>
                </c:pt>
                <c:pt idx="32">
                  <c:v>1096</c:v>
                </c:pt>
                <c:pt idx="33">
                  <c:v>1116</c:v>
                </c:pt>
                <c:pt idx="34">
                  <c:v>1128</c:v>
                </c:pt>
                <c:pt idx="35">
                  <c:v>1122</c:v>
                </c:pt>
                <c:pt idx="36">
                  <c:v>1125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2D-4E8E-89F5-6A5410A4160E}"/>
            </c:ext>
          </c:extLst>
        </c:ser>
        <c:ser>
          <c:idx val="1"/>
          <c:order val="1"/>
          <c:tx>
            <c:strRef>
              <c:f>NittyGrittySheet!$A$28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NittyGrittySheet!$B$26:$AL$26</c:f>
              <c:strCache>
                <c:ptCount val="37"/>
                <c:pt idx="0">
                  <c:v>10/13/2025</c:v>
                </c:pt>
                <c:pt idx="1">
                  <c:v>10/17/2025</c:v>
                </c:pt>
                <c:pt idx="2">
                  <c:v>10/24/2025</c:v>
                </c:pt>
                <c:pt idx="3">
                  <c:v>10/31/2025</c:v>
                </c:pt>
                <c:pt idx="4">
                  <c:v>11/7/2025</c:v>
                </c:pt>
                <c:pt idx="5">
                  <c:v>11/14/2025</c:v>
                </c:pt>
                <c:pt idx="6">
                  <c:v>11/21/2025</c:v>
                </c:pt>
                <c:pt idx="7">
                  <c:v>11/28/2025</c:v>
                </c:pt>
                <c:pt idx="8">
                  <c:v>12/5/2025</c:v>
                </c:pt>
                <c:pt idx="9">
                  <c:v>12/12/2025</c:v>
                </c:pt>
                <c:pt idx="10">
                  <c:v>12/19/2025</c:v>
                </c:pt>
                <c:pt idx="11">
                  <c:v>12/26/2025</c:v>
                </c:pt>
                <c:pt idx="12">
                  <c:v>1/2/2026</c:v>
                </c:pt>
                <c:pt idx="13">
                  <c:v>1/9/2026</c:v>
                </c:pt>
                <c:pt idx="14">
                  <c:v>1/16/2026</c:v>
                </c:pt>
                <c:pt idx="15">
                  <c:v>1/23/2026</c:v>
                </c:pt>
                <c:pt idx="16">
                  <c:v>1/30/2026</c:v>
                </c:pt>
                <c:pt idx="17">
                  <c:v>2/6/2026</c:v>
                </c:pt>
                <c:pt idx="18">
                  <c:v>2/13/2026</c:v>
                </c:pt>
                <c:pt idx="19">
                  <c:v>2/20/2026</c:v>
                </c:pt>
                <c:pt idx="20">
                  <c:v>2/27/2026</c:v>
                </c:pt>
                <c:pt idx="21">
                  <c:v>3/13/2026</c:v>
                </c:pt>
                <c:pt idx="22">
                  <c:v>3/20/2026</c:v>
                </c:pt>
                <c:pt idx="23">
                  <c:v>3/27/2026</c:v>
                </c:pt>
                <c:pt idx="24">
                  <c:v>4/3/2026</c:v>
                </c:pt>
                <c:pt idx="25">
                  <c:v>4/10/2026</c:v>
                </c:pt>
                <c:pt idx="26">
                  <c:v>4/17/2026</c:v>
                </c:pt>
                <c:pt idx="27">
                  <c:v>4/24/2026</c:v>
                </c:pt>
                <c:pt idx="28">
                  <c:v>5/1/2026</c:v>
                </c:pt>
                <c:pt idx="29">
                  <c:v>5/8/2026</c:v>
                </c:pt>
                <c:pt idx="30">
                  <c:v>5/15/2026</c:v>
                </c:pt>
                <c:pt idx="31">
                  <c:v>5/22/2026</c:v>
                </c:pt>
                <c:pt idx="32">
                  <c:v>05/29/2026</c:v>
                </c:pt>
                <c:pt idx="33">
                  <c:v>6/5/2026</c:v>
                </c:pt>
                <c:pt idx="34">
                  <c:v>6/12/2026</c:v>
                </c:pt>
                <c:pt idx="35">
                  <c:v>6/19/2026</c:v>
                </c:pt>
                <c:pt idx="36">
                  <c:v>6/26/2026</c:v>
                </c:pt>
              </c:strCache>
            </c:strRef>
          </c:cat>
          <c:val>
            <c:numRef>
              <c:f>NittyGrittySheet!$B$28:$AL$28</c:f>
              <c:numCache>
                <c:formatCode>General</c:formatCode>
                <c:ptCount val="37"/>
                <c:pt idx="0">
                  <c:v>677</c:v>
                </c:pt>
                <c:pt idx="1">
                  <c:v>678</c:v>
                </c:pt>
                <c:pt idx="2">
                  <c:v>666</c:v>
                </c:pt>
                <c:pt idx="3">
                  <c:v>647</c:v>
                </c:pt>
                <c:pt idx="4">
                  <c:v>656</c:v>
                </c:pt>
                <c:pt idx="5">
                  <c:v>673</c:v>
                </c:pt>
                <c:pt idx="6">
                  <c:v>677</c:v>
                </c:pt>
                <c:pt idx="7">
                  <c:v>677</c:v>
                </c:pt>
                <c:pt idx="8">
                  <c:v>670</c:v>
                </c:pt>
                <c:pt idx="9">
                  <c:v>698</c:v>
                </c:pt>
                <c:pt idx="10">
                  <c:v>692</c:v>
                </c:pt>
                <c:pt idx="11">
                  <c:v>695</c:v>
                </c:pt>
                <c:pt idx="12">
                  <c:v>695</c:v>
                </c:pt>
                <c:pt idx="13">
                  <c:v>702</c:v>
                </c:pt>
                <c:pt idx="14">
                  <c:v>698</c:v>
                </c:pt>
                <c:pt idx="15" formatCode="#,##0_);\(#,##0\)">
                  <c:v>694</c:v>
                </c:pt>
                <c:pt idx="16" formatCode="0">
                  <c:v>673</c:v>
                </c:pt>
                <c:pt idx="17">
                  <c:v>671</c:v>
                </c:pt>
                <c:pt idx="18">
                  <c:v>646</c:v>
                </c:pt>
                <c:pt idx="19">
                  <c:v>645</c:v>
                </c:pt>
                <c:pt idx="20">
                  <c:v>623</c:v>
                </c:pt>
                <c:pt idx="21">
                  <c:v>575</c:v>
                </c:pt>
                <c:pt idx="22">
                  <c:v>549</c:v>
                </c:pt>
                <c:pt idx="23">
                  <c:v>521</c:v>
                </c:pt>
                <c:pt idx="24">
                  <c:v>472</c:v>
                </c:pt>
                <c:pt idx="25" formatCode="0">
                  <c:v>430</c:v>
                </c:pt>
                <c:pt idx="26" formatCode="0">
                  <c:v>395</c:v>
                </c:pt>
                <c:pt idx="27" formatCode="0">
                  <c:v>364</c:v>
                </c:pt>
                <c:pt idx="28" formatCode="0">
                  <c:v>345</c:v>
                </c:pt>
                <c:pt idx="29">
                  <c:v>318</c:v>
                </c:pt>
                <c:pt idx="30">
                  <c:v>297</c:v>
                </c:pt>
                <c:pt idx="31">
                  <c:v>265</c:v>
                </c:pt>
                <c:pt idx="32">
                  <c:v>247</c:v>
                </c:pt>
                <c:pt idx="33">
                  <c:v>214</c:v>
                </c:pt>
                <c:pt idx="34">
                  <c:v>187</c:v>
                </c:pt>
                <c:pt idx="35">
                  <c:v>179</c:v>
                </c:pt>
                <c:pt idx="36">
                  <c:v>165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2D-4E8E-89F5-6A5410A4160E}"/>
            </c:ext>
          </c:extLst>
        </c:ser>
        <c:ser>
          <c:idx val="3"/>
          <c:order val="3"/>
          <c:tx>
            <c:strRef>
              <c:f>NittyGrittySheet!$A$30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NittyGrittySheet!$B$26:$AL$26</c:f>
              <c:strCache>
                <c:ptCount val="37"/>
                <c:pt idx="0">
                  <c:v>10/13/2025</c:v>
                </c:pt>
                <c:pt idx="1">
                  <c:v>10/17/2025</c:v>
                </c:pt>
                <c:pt idx="2">
                  <c:v>10/24/2025</c:v>
                </c:pt>
                <c:pt idx="3">
                  <c:v>10/31/2025</c:v>
                </c:pt>
                <c:pt idx="4">
                  <c:v>11/7/2025</c:v>
                </c:pt>
                <c:pt idx="5">
                  <c:v>11/14/2025</c:v>
                </c:pt>
                <c:pt idx="6">
                  <c:v>11/21/2025</c:v>
                </c:pt>
                <c:pt idx="7">
                  <c:v>11/28/2025</c:v>
                </c:pt>
                <c:pt idx="8">
                  <c:v>12/5/2025</c:v>
                </c:pt>
                <c:pt idx="9">
                  <c:v>12/12/2025</c:v>
                </c:pt>
                <c:pt idx="10">
                  <c:v>12/19/2025</c:v>
                </c:pt>
                <c:pt idx="11">
                  <c:v>12/26/2025</c:v>
                </c:pt>
                <c:pt idx="12">
                  <c:v>1/2/2026</c:v>
                </c:pt>
                <c:pt idx="13">
                  <c:v>1/9/2026</c:v>
                </c:pt>
                <c:pt idx="14">
                  <c:v>1/16/2026</c:v>
                </c:pt>
                <c:pt idx="15">
                  <c:v>1/23/2026</c:v>
                </c:pt>
                <c:pt idx="16">
                  <c:v>1/30/2026</c:v>
                </c:pt>
                <c:pt idx="17">
                  <c:v>2/6/2026</c:v>
                </c:pt>
                <c:pt idx="18">
                  <c:v>2/13/2026</c:v>
                </c:pt>
                <c:pt idx="19">
                  <c:v>2/20/2026</c:v>
                </c:pt>
                <c:pt idx="20">
                  <c:v>2/27/2026</c:v>
                </c:pt>
                <c:pt idx="21">
                  <c:v>3/13/2026</c:v>
                </c:pt>
                <c:pt idx="22">
                  <c:v>3/20/2026</c:v>
                </c:pt>
                <c:pt idx="23">
                  <c:v>3/27/2026</c:v>
                </c:pt>
                <c:pt idx="24">
                  <c:v>4/3/2026</c:v>
                </c:pt>
                <c:pt idx="25">
                  <c:v>4/10/2026</c:v>
                </c:pt>
                <c:pt idx="26">
                  <c:v>4/17/2026</c:v>
                </c:pt>
                <c:pt idx="27">
                  <c:v>4/24/2026</c:v>
                </c:pt>
                <c:pt idx="28">
                  <c:v>5/1/2026</c:v>
                </c:pt>
                <c:pt idx="29">
                  <c:v>5/8/2026</c:v>
                </c:pt>
                <c:pt idx="30">
                  <c:v>5/15/2026</c:v>
                </c:pt>
                <c:pt idx="31">
                  <c:v>5/22/2026</c:v>
                </c:pt>
                <c:pt idx="32">
                  <c:v>05/29/2026</c:v>
                </c:pt>
                <c:pt idx="33">
                  <c:v>6/5/2026</c:v>
                </c:pt>
                <c:pt idx="34">
                  <c:v>6/12/2026</c:v>
                </c:pt>
                <c:pt idx="35">
                  <c:v>6/19/2026</c:v>
                </c:pt>
                <c:pt idx="36">
                  <c:v>6/26/2026</c:v>
                </c:pt>
              </c:strCache>
            </c:strRef>
          </c:cat>
          <c:val>
            <c:numRef>
              <c:f>NittyGrittySheet!$B$30:$AL$30</c:f>
              <c:numCache>
                <c:formatCode>General</c:formatCode>
                <c:ptCount val="37"/>
                <c:pt idx="0">
                  <c:v>764</c:v>
                </c:pt>
                <c:pt idx="1">
                  <c:v>756</c:v>
                </c:pt>
                <c:pt idx="2">
                  <c:v>730</c:v>
                </c:pt>
                <c:pt idx="3">
                  <c:v>697</c:v>
                </c:pt>
                <c:pt idx="4">
                  <c:v>658</c:v>
                </c:pt>
                <c:pt idx="5">
                  <c:v>595</c:v>
                </c:pt>
                <c:pt idx="6">
                  <c:v>566</c:v>
                </c:pt>
                <c:pt idx="7">
                  <c:v>550</c:v>
                </c:pt>
                <c:pt idx="8">
                  <c:v>516</c:v>
                </c:pt>
                <c:pt idx="9">
                  <c:v>453</c:v>
                </c:pt>
                <c:pt idx="10">
                  <c:v>446</c:v>
                </c:pt>
                <c:pt idx="11">
                  <c:v>443</c:v>
                </c:pt>
                <c:pt idx="12">
                  <c:v>416</c:v>
                </c:pt>
                <c:pt idx="13">
                  <c:v>368</c:v>
                </c:pt>
                <c:pt idx="14">
                  <c:v>325</c:v>
                </c:pt>
                <c:pt idx="15" formatCode="#,##0_);\(#,##0\)">
                  <c:v>289</c:v>
                </c:pt>
                <c:pt idx="16" formatCode="0">
                  <c:v>267</c:v>
                </c:pt>
                <c:pt idx="17">
                  <c:v>244</c:v>
                </c:pt>
                <c:pt idx="18">
                  <c:v>218</c:v>
                </c:pt>
                <c:pt idx="19">
                  <c:v>201</c:v>
                </c:pt>
                <c:pt idx="20">
                  <c:v>187</c:v>
                </c:pt>
                <c:pt idx="21">
                  <c:v>166</c:v>
                </c:pt>
                <c:pt idx="22">
                  <c:v>151</c:v>
                </c:pt>
                <c:pt idx="23">
                  <c:v>133</c:v>
                </c:pt>
                <c:pt idx="24">
                  <c:v>120</c:v>
                </c:pt>
                <c:pt idx="25" formatCode="0">
                  <c:v>85</c:v>
                </c:pt>
                <c:pt idx="26" formatCode="0">
                  <c:v>67</c:v>
                </c:pt>
                <c:pt idx="27" formatCode="0">
                  <c:v>63</c:v>
                </c:pt>
                <c:pt idx="28" formatCode="0">
                  <c:v>63</c:v>
                </c:pt>
                <c:pt idx="29">
                  <c:v>58</c:v>
                </c:pt>
                <c:pt idx="30">
                  <c:v>49</c:v>
                </c:pt>
                <c:pt idx="31">
                  <c:v>45</c:v>
                </c:pt>
                <c:pt idx="32">
                  <c:v>42</c:v>
                </c:pt>
                <c:pt idx="33">
                  <c:v>38</c:v>
                </c:pt>
                <c:pt idx="34">
                  <c:v>26</c:v>
                </c:pt>
                <c:pt idx="35">
                  <c:v>22</c:v>
                </c:pt>
                <c:pt idx="36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2D-4E8E-89F5-6A5410A416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NittyGrittySheet!$A$29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NittyGrittySheet!$B$26:$AL$26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NittyGrittySheet!$B$29:$AL$29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3</c:v>
                      </c:pt>
                      <c:pt idx="8">
                        <c:v>3</c:v>
                      </c:pt>
                      <c:pt idx="9">
                        <c:v>2</c:v>
                      </c:pt>
                      <c:pt idx="10">
                        <c:v>2</c:v>
                      </c:pt>
                      <c:pt idx="11">
                        <c:v>2</c:v>
                      </c:pt>
                      <c:pt idx="12">
                        <c:v>3</c:v>
                      </c:pt>
                      <c:pt idx="13">
                        <c:v>2</c:v>
                      </c:pt>
                      <c:pt idx="14">
                        <c:v>2</c:v>
                      </c:pt>
                      <c:pt idx="15" formatCode="#,##0_);\(#,##0\)">
                        <c:v>2</c:v>
                      </c:pt>
                      <c:pt idx="16" formatCode="0">
                        <c:v>2</c:v>
                      </c:pt>
                      <c:pt idx="17">
                        <c:v>2</c:v>
                      </c:pt>
                      <c:pt idx="18">
                        <c:v>2</c:v>
                      </c:pt>
                      <c:pt idx="19">
                        <c:v>2</c:v>
                      </c:pt>
                      <c:pt idx="20">
                        <c:v>2</c:v>
                      </c:pt>
                      <c:pt idx="21">
                        <c:v>3</c:v>
                      </c:pt>
                      <c:pt idx="22">
                        <c:v>4</c:v>
                      </c:pt>
                      <c:pt idx="23">
                        <c:v>4</c:v>
                      </c:pt>
                      <c:pt idx="24">
                        <c:v>7</c:v>
                      </c:pt>
                      <c:pt idx="25" formatCode="0">
                        <c:v>7</c:v>
                      </c:pt>
                      <c:pt idx="26" formatCode="0">
                        <c:v>7</c:v>
                      </c:pt>
                      <c:pt idx="27" formatCode="0">
                        <c:v>6</c:v>
                      </c:pt>
                      <c:pt idx="28" formatCode="0">
                        <c:v>7</c:v>
                      </c:pt>
                      <c:pt idx="29">
                        <c:v>6</c:v>
                      </c:pt>
                      <c:pt idx="30">
                        <c:v>6</c:v>
                      </c:pt>
                      <c:pt idx="31">
                        <c:v>6</c:v>
                      </c:pt>
                      <c:pt idx="32">
                        <c:v>6</c:v>
                      </c:pt>
                      <c:pt idx="33">
                        <c:v>9</c:v>
                      </c:pt>
                      <c:pt idx="34">
                        <c:v>10</c:v>
                      </c:pt>
                      <c:pt idx="35">
                        <c:v>10</c:v>
                      </c:pt>
                      <c:pt idx="36">
                        <c:v>10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052D-4E8E-89F5-6A5410A4160E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NittyGrittySheet!$A$31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NittyGrittySheet!$B$26:$AL$26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NittyGrittySheet!$B$31:$AL$31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61</c:v>
                      </c:pt>
                      <c:pt idx="1">
                        <c:v>62</c:v>
                      </c:pt>
                      <c:pt idx="2">
                        <c:v>64</c:v>
                      </c:pt>
                      <c:pt idx="3">
                        <c:v>64</c:v>
                      </c:pt>
                      <c:pt idx="4">
                        <c:v>66</c:v>
                      </c:pt>
                      <c:pt idx="5">
                        <c:v>66</c:v>
                      </c:pt>
                      <c:pt idx="6">
                        <c:v>69</c:v>
                      </c:pt>
                      <c:pt idx="7">
                        <c:v>69</c:v>
                      </c:pt>
                      <c:pt idx="8">
                        <c:v>76</c:v>
                      </c:pt>
                      <c:pt idx="9">
                        <c:v>81</c:v>
                      </c:pt>
                      <c:pt idx="10">
                        <c:v>80</c:v>
                      </c:pt>
                      <c:pt idx="11">
                        <c:v>79</c:v>
                      </c:pt>
                      <c:pt idx="12">
                        <c:v>87</c:v>
                      </c:pt>
                      <c:pt idx="13">
                        <c:v>87</c:v>
                      </c:pt>
                      <c:pt idx="14">
                        <c:v>89</c:v>
                      </c:pt>
                      <c:pt idx="15" formatCode="#,##0_);\(#,##0\)">
                        <c:v>93</c:v>
                      </c:pt>
                      <c:pt idx="16" formatCode="0">
                        <c:v>94</c:v>
                      </c:pt>
                      <c:pt idx="17">
                        <c:v>94</c:v>
                      </c:pt>
                      <c:pt idx="18">
                        <c:v>98</c:v>
                      </c:pt>
                      <c:pt idx="19">
                        <c:v>100</c:v>
                      </c:pt>
                      <c:pt idx="20">
                        <c:v>101</c:v>
                      </c:pt>
                      <c:pt idx="21">
                        <c:v>102</c:v>
                      </c:pt>
                      <c:pt idx="22">
                        <c:v>104</c:v>
                      </c:pt>
                      <c:pt idx="23">
                        <c:v>113</c:v>
                      </c:pt>
                      <c:pt idx="24">
                        <c:v>119</c:v>
                      </c:pt>
                      <c:pt idx="25" formatCode="0">
                        <c:v>119</c:v>
                      </c:pt>
                      <c:pt idx="26" formatCode="0">
                        <c:v>119</c:v>
                      </c:pt>
                      <c:pt idx="27" formatCode="0">
                        <c:v>119</c:v>
                      </c:pt>
                      <c:pt idx="28" formatCode="0">
                        <c:v>121</c:v>
                      </c:pt>
                      <c:pt idx="29">
                        <c:v>121</c:v>
                      </c:pt>
                      <c:pt idx="30">
                        <c:v>120</c:v>
                      </c:pt>
                      <c:pt idx="31">
                        <c:v>119</c:v>
                      </c:pt>
                      <c:pt idx="32">
                        <c:v>120</c:v>
                      </c:pt>
                      <c:pt idx="33">
                        <c:v>124</c:v>
                      </c:pt>
                      <c:pt idx="34">
                        <c:v>118</c:v>
                      </c:pt>
                      <c:pt idx="35">
                        <c:v>116</c:v>
                      </c:pt>
                      <c:pt idx="36">
                        <c:v>116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52D-4E8E-89F5-6A5410A4160E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NittyGrittySheet!$A$32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NittyGrittySheet!$B$26:$AL$26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NittyGrittySheet!$B$32:$AL$32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8</c:v>
                      </c:pt>
                      <c:pt idx="1">
                        <c:v>7</c:v>
                      </c:pt>
                      <c:pt idx="2">
                        <c:v>7</c:v>
                      </c:pt>
                      <c:pt idx="3">
                        <c:v>8</c:v>
                      </c:pt>
                      <c:pt idx="4">
                        <c:v>9</c:v>
                      </c:pt>
                      <c:pt idx="5">
                        <c:v>11</c:v>
                      </c:pt>
                      <c:pt idx="6">
                        <c:v>11</c:v>
                      </c:pt>
                      <c:pt idx="7">
                        <c:v>11</c:v>
                      </c:pt>
                      <c:pt idx="8">
                        <c:v>13</c:v>
                      </c:pt>
                      <c:pt idx="9">
                        <c:v>13</c:v>
                      </c:pt>
                      <c:pt idx="10">
                        <c:v>13</c:v>
                      </c:pt>
                      <c:pt idx="11">
                        <c:v>13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 formatCode="#,##0_);\(#,##0\)">
                        <c:v>16</c:v>
                      </c:pt>
                      <c:pt idx="16" formatCode="0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18</c:v>
                      </c:pt>
                      <c:pt idx="20">
                        <c:v>18</c:v>
                      </c:pt>
                      <c:pt idx="21">
                        <c:v>18</c:v>
                      </c:pt>
                      <c:pt idx="22">
                        <c:v>20</c:v>
                      </c:pt>
                      <c:pt idx="23">
                        <c:v>20</c:v>
                      </c:pt>
                      <c:pt idx="24">
                        <c:v>20</c:v>
                      </c:pt>
                      <c:pt idx="25" formatCode="0">
                        <c:v>22</c:v>
                      </c:pt>
                      <c:pt idx="26" formatCode="0">
                        <c:v>22</c:v>
                      </c:pt>
                      <c:pt idx="27" formatCode="0">
                        <c:v>22</c:v>
                      </c:pt>
                      <c:pt idx="28" formatCode="0">
                        <c:v>22</c:v>
                      </c:pt>
                      <c:pt idx="29">
                        <c:v>22</c:v>
                      </c:pt>
                      <c:pt idx="30">
                        <c:v>22</c:v>
                      </c:pt>
                      <c:pt idx="31">
                        <c:v>22</c:v>
                      </c:pt>
                      <c:pt idx="32">
                        <c:v>22</c:v>
                      </c:pt>
                      <c:pt idx="33">
                        <c:v>22</c:v>
                      </c:pt>
                      <c:pt idx="34">
                        <c:v>24</c:v>
                      </c:pt>
                      <c:pt idx="35">
                        <c:v>23</c:v>
                      </c:pt>
                      <c:pt idx="36">
                        <c:v>22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052D-4E8E-89F5-6A5410A4160E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NittyGrittySheet!$A$33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NittyGrittySheet!$B$26:$AL$26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NittyGrittySheet!$B$33:$AL$33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29</c:v>
                      </c:pt>
                      <c:pt idx="1">
                        <c:v>29</c:v>
                      </c:pt>
                      <c:pt idx="2">
                        <c:v>28</c:v>
                      </c:pt>
                      <c:pt idx="3">
                        <c:v>28</c:v>
                      </c:pt>
                      <c:pt idx="4">
                        <c:v>29</c:v>
                      </c:pt>
                      <c:pt idx="5">
                        <c:v>27</c:v>
                      </c:pt>
                      <c:pt idx="6">
                        <c:v>27</c:v>
                      </c:pt>
                      <c:pt idx="7">
                        <c:v>28</c:v>
                      </c:pt>
                      <c:pt idx="8">
                        <c:v>30</c:v>
                      </c:pt>
                      <c:pt idx="9">
                        <c:v>31</c:v>
                      </c:pt>
                      <c:pt idx="10">
                        <c:v>30</c:v>
                      </c:pt>
                      <c:pt idx="11">
                        <c:v>30</c:v>
                      </c:pt>
                      <c:pt idx="12">
                        <c:v>30</c:v>
                      </c:pt>
                      <c:pt idx="13">
                        <c:v>32</c:v>
                      </c:pt>
                      <c:pt idx="14">
                        <c:v>35</c:v>
                      </c:pt>
                      <c:pt idx="15" formatCode="#,##0_);\(#,##0\)">
                        <c:v>35</c:v>
                      </c:pt>
                      <c:pt idx="16" formatCode="0">
                        <c:v>38</c:v>
                      </c:pt>
                      <c:pt idx="17">
                        <c:v>40</c:v>
                      </c:pt>
                      <c:pt idx="18">
                        <c:v>44</c:v>
                      </c:pt>
                      <c:pt idx="19">
                        <c:v>45</c:v>
                      </c:pt>
                      <c:pt idx="20">
                        <c:v>46</c:v>
                      </c:pt>
                      <c:pt idx="21">
                        <c:v>48</c:v>
                      </c:pt>
                      <c:pt idx="22">
                        <c:v>52</c:v>
                      </c:pt>
                      <c:pt idx="23">
                        <c:v>65</c:v>
                      </c:pt>
                      <c:pt idx="24">
                        <c:v>79</c:v>
                      </c:pt>
                      <c:pt idx="25" formatCode="0">
                        <c:v>77</c:v>
                      </c:pt>
                      <c:pt idx="26" formatCode="0">
                        <c:v>91</c:v>
                      </c:pt>
                      <c:pt idx="27" formatCode="0">
                        <c:v>91</c:v>
                      </c:pt>
                      <c:pt idx="28" formatCode="0">
                        <c:v>94</c:v>
                      </c:pt>
                      <c:pt idx="29">
                        <c:v>93</c:v>
                      </c:pt>
                      <c:pt idx="30">
                        <c:v>93</c:v>
                      </c:pt>
                      <c:pt idx="31">
                        <c:v>96</c:v>
                      </c:pt>
                      <c:pt idx="32">
                        <c:v>98</c:v>
                      </c:pt>
                      <c:pt idx="33">
                        <c:v>102</c:v>
                      </c:pt>
                      <c:pt idx="34">
                        <c:v>101</c:v>
                      </c:pt>
                      <c:pt idx="35">
                        <c:v>97</c:v>
                      </c:pt>
                      <c:pt idx="36">
                        <c:v>96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052D-4E8E-89F5-6A5410A4160E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NittyGrittySheet!$A$34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NittyGrittySheet!$B$26:$AL$26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NittyGrittySheet!$B$34:$AL$34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9</c:v>
                      </c:pt>
                      <c:pt idx="1">
                        <c:v>10</c:v>
                      </c:pt>
                      <c:pt idx="2">
                        <c:v>10</c:v>
                      </c:pt>
                      <c:pt idx="3">
                        <c:v>10</c:v>
                      </c:pt>
                      <c:pt idx="4">
                        <c:v>12</c:v>
                      </c:pt>
                      <c:pt idx="5">
                        <c:v>11</c:v>
                      </c:pt>
                      <c:pt idx="6">
                        <c:v>14</c:v>
                      </c:pt>
                      <c:pt idx="7">
                        <c:v>15</c:v>
                      </c:pt>
                      <c:pt idx="8">
                        <c:v>16</c:v>
                      </c:pt>
                      <c:pt idx="9">
                        <c:v>16</c:v>
                      </c:pt>
                      <c:pt idx="10">
                        <c:v>16</c:v>
                      </c:pt>
                      <c:pt idx="11">
                        <c:v>17</c:v>
                      </c:pt>
                      <c:pt idx="12">
                        <c:v>17</c:v>
                      </c:pt>
                      <c:pt idx="13">
                        <c:v>16</c:v>
                      </c:pt>
                      <c:pt idx="14">
                        <c:v>17</c:v>
                      </c:pt>
                      <c:pt idx="15" formatCode="#,##0_);\(#,##0\)">
                        <c:v>17</c:v>
                      </c:pt>
                      <c:pt idx="16" formatCode="0">
                        <c:v>16</c:v>
                      </c:pt>
                      <c:pt idx="17">
                        <c:v>13</c:v>
                      </c:pt>
                      <c:pt idx="18">
                        <c:v>14</c:v>
                      </c:pt>
                      <c:pt idx="19">
                        <c:v>16</c:v>
                      </c:pt>
                      <c:pt idx="20">
                        <c:v>18</c:v>
                      </c:pt>
                      <c:pt idx="21">
                        <c:v>18</c:v>
                      </c:pt>
                      <c:pt idx="22">
                        <c:v>20</c:v>
                      </c:pt>
                      <c:pt idx="23">
                        <c:v>21</c:v>
                      </c:pt>
                      <c:pt idx="24">
                        <c:v>23</c:v>
                      </c:pt>
                      <c:pt idx="25" formatCode="0">
                        <c:v>29</c:v>
                      </c:pt>
                      <c:pt idx="26" formatCode="0">
                        <c:v>33</c:v>
                      </c:pt>
                      <c:pt idx="27" formatCode="0">
                        <c:v>35</c:v>
                      </c:pt>
                      <c:pt idx="28" formatCode="0">
                        <c:v>36</c:v>
                      </c:pt>
                      <c:pt idx="29">
                        <c:v>49</c:v>
                      </c:pt>
                      <c:pt idx="30">
                        <c:v>50</c:v>
                      </c:pt>
                      <c:pt idx="31">
                        <c:v>53</c:v>
                      </c:pt>
                      <c:pt idx="32">
                        <c:v>57</c:v>
                      </c:pt>
                      <c:pt idx="33">
                        <c:v>60</c:v>
                      </c:pt>
                      <c:pt idx="34">
                        <c:v>59</c:v>
                      </c:pt>
                      <c:pt idx="35">
                        <c:v>59</c:v>
                      </c:pt>
                      <c:pt idx="36">
                        <c:v>59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052D-4E8E-89F5-6A5410A4160E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NittyGrittySheet!$A$35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NittyGrittySheet!$B$26:$AL$26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NittyGrittySheet!$B$35:$AL$35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5</c:v>
                      </c:pt>
                      <c:pt idx="1">
                        <c:v>5</c:v>
                      </c:pt>
                      <c:pt idx="2">
                        <c:v>5</c:v>
                      </c:pt>
                      <c:pt idx="3">
                        <c:v>5</c:v>
                      </c:pt>
                      <c:pt idx="4">
                        <c:v>5</c:v>
                      </c:pt>
                      <c:pt idx="5">
                        <c:v>7</c:v>
                      </c:pt>
                      <c:pt idx="6">
                        <c:v>8</c:v>
                      </c:pt>
                      <c:pt idx="7">
                        <c:v>8</c:v>
                      </c:pt>
                      <c:pt idx="8">
                        <c:v>8</c:v>
                      </c:pt>
                      <c:pt idx="9">
                        <c:v>8</c:v>
                      </c:pt>
                      <c:pt idx="10">
                        <c:v>8</c:v>
                      </c:pt>
                      <c:pt idx="11">
                        <c:v>8</c:v>
                      </c:pt>
                      <c:pt idx="12">
                        <c:v>8</c:v>
                      </c:pt>
                      <c:pt idx="13">
                        <c:v>8</c:v>
                      </c:pt>
                      <c:pt idx="14">
                        <c:v>8</c:v>
                      </c:pt>
                      <c:pt idx="15" formatCode="#,##0_);\(#,##0\)">
                        <c:v>8</c:v>
                      </c:pt>
                      <c:pt idx="16" formatCode="0">
                        <c:v>7</c:v>
                      </c:pt>
                      <c:pt idx="17">
                        <c:v>7</c:v>
                      </c:pt>
                      <c:pt idx="18">
                        <c:v>7</c:v>
                      </c:pt>
                      <c:pt idx="19">
                        <c:v>6</c:v>
                      </c:pt>
                      <c:pt idx="20">
                        <c:v>7</c:v>
                      </c:pt>
                      <c:pt idx="21">
                        <c:v>7</c:v>
                      </c:pt>
                      <c:pt idx="22">
                        <c:v>8</c:v>
                      </c:pt>
                      <c:pt idx="23">
                        <c:v>8</c:v>
                      </c:pt>
                      <c:pt idx="24">
                        <c:v>8</c:v>
                      </c:pt>
                      <c:pt idx="25" formatCode="0">
                        <c:v>9</c:v>
                      </c:pt>
                      <c:pt idx="26" formatCode="0">
                        <c:v>9</c:v>
                      </c:pt>
                      <c:pt idx="27" formatCode="0">
                        <c:v>8</c:v>
                      </c:pt>
                      <c:pt idx="28" formatCode="0">
                        <c:v>8</c:v>
                      </c:pt>
                      <c:pt idx="29">
                        <c:v>8</c:v>
                      </c:pt>
                      <c:pt idx="30">
                        <c:v>8</c:v>
                      </c:pt>
                      <c:pt idx="31">
                        <c:v>7</c:v>
                      </c:pt>
                      <c:pt idx="32">
                        <c:v>7</c:v>
                      </c:pt>
                      <c:pt idx="33">
                        <c:v>7</c:v>
                      </c:pt>
                      <c:pt idx="34">
                        <c:v>8</c:v>
                      </c:pt>
                      <c:pt idx="35">
                        <c:v>7</c:v>
                      </c:pt>
                      <c:pt idx="36">
                        <c:v>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052D-4E8E-89F5-6A5410A4160E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NittyGrittySheet!$A$36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NittyGrittySheet!$B$26:$AL$26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NittyGrittySheet!$B$36:$AL$36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57</c:v>
                      </c:pt>
                      <c:pt idx="1">
                        <c:v>58</c:v>
                      </c:pt>
                      <c:pt idx="2">
                        <c:v>59</c:v>
                      </c:pt>
                      <c:pt idx="3">
                        <c:v>59</c:v>
                      </c:pt>
                      <c:pt idx="4">
                        <c:v>59</c:v>
                      </c:pt>
                      <c:pt idx="5">
                        <c:v>61</c:v>
                      </c:pt>
                      <c:pt idx="6">
                        <c:v>69</c:v>
                      </c:pt>
                      <c:pt idx="7">
                        <c:v>74</c:v>
                      </c:pt>
                      <c:pt idx="8">
                        <c:v>76</c:v>
                      </c:pt>
                      <c:pt idx="9">
                        <c:v>78</c:v>
                      </c:pt>
                      <c:pt idx="10">
                        <c:v>78</c:v>
                      </c:pt>
                      <c:pt idx="11">
                        <c:v>77</c:v>
                      </c:pt>
                      <c:pt idx="12">
                        <c:v>77</c:v>
                      </c:pt>
                      <c:pt idx="13">
                        <c:v>79</c:v>
                      </c:pt>
                      <c:pt idx="14">
                        <c:v>79</c:v>
                      </c:pt>
                      <c:pt idx="15" formatCode="#,##0_);\(#,##0\)">
                        <c:v>79</c:v>
                      </c:pt>
                      <c:pt idx="16" formatCode="0">
                        <c:v>79</c:v>
                      </c:pt>
                      <c:pt idx="17">
                        <c:v>80</c:v>
                      </c:pt>
                      <c:pt idx="18">
                        <c:v>82</c:v>
                      </c:pt>
                      <c:pt idx="19">
                        <c:v>84</c:v>
                      </c:pt>
                      <c:pt idx="20">
                        <c:v>90</c:v>
                      </c:pt>
                      <c:pt idx="21">
                        <c:v>92</c:v>
                      </c:pt>
                      <c:pt idx="22">
                        <c:v>92</c:v>
                      </c:pt>
                      <c:pt idx="23">
                        <c:v>95</c:v>
                      </c:pt>
                      <c:pt idx="24">
                        <c:v>97</c:v>
                      </c:pt>
                      <c:pt idx="25" formatCode="0">
                        <c:v>101</c:v>
                      </c:pt>
                      <c:pt idx="26" formatCode="0">
                        <c:v>102</c:v>
                      </c:pt>
                      <c:pt idx="27" formatCode="0">
                        <c:v>102</c:v>
                      </c:pt>
                      <c:pt idx="28" formatCode="0">
                        <c:v>104</c:v>
                      </c:pt>
                      <c:pt idx="29">
                        <c:v>108</c:v>
                      </c:pt>
                      <c:pt idx="30">
                        <c:v>109</c:v>
                      </c:pt>
                      <c:pt idx="31">
                        <c:v>110</c:v>
                      </c:pt>
                      <c:pt idx="32">
                        <c:v>111</c:v>
                      </c:pt>
                      <c:pt idx="33">
                        <c:v>111</c:v>
                      </c:pt>
                      <c:pt idx="34">
                        <c:v>117</c:v>
                      </c:pt>
                      <c:pt idx="35">
                        <c:v>116</c:v>
                      </c:pt>
                      <c:pt idx="36">
                        <c:v>114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052D-4E8E-89F5-6A5410A4160E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NittyGrittySheet!$A$37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NittyGrittySheet!$B$26:$AL$26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NittyGrittySheet!$B$37:$AL$37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1957</c:v>
                      </c:pt>
                      <c:pt idx="1">
                        <c:v>1953</c:v>
                      </c:pt>
                      <c:pt idx="2">
                        <c:v>1954</c:v>
                      </c:pt>
                      <c:pt idx="3">
                        <c:v>1954</c:v>
                      </c:pt>
                      <c:pt idx="4">
                        <c:v>1950</c:v>
                      </c:pt>
                      <c:pt idx="5">
                        <c:v>1926</c:v>
                      </c:pt>
                      <c:pt idx="6">
                        <c:v>1943</c:v>
                      </c:pt>
                      <c:pt idx="7">
                        <c:v>1939</c:v>
                      </c:pt>
                      <c:pt idx="8">
                        <c:v>1942</c:v>
                      </c:pt>
                      <c:pt idx="9">
                        <c:v>1960</c:v>
                      </c:pt>
                      <c:pt idx="10">
                        <c:v>1957</c:v>
                      </c:pt>
                      <c:pt idx="11">
                        <c:v>1958</c:v>
                      </c:pt>
                      <c:pt idx="12">
                        <c:v>1960</c:v>
                      </c:pt>
                      <c:pt idx="13">
                        <c:v>1964</c:v>
                      </c:pt>
                      <c:pt idx="14">
                        <c:v>1960</c:v>
                      </c:pt>
                      <c:pt idx="15" formatCode="#,##0_);\(#,##0\)">
                        <c:v>1955</c:v>
                      </c:pt>
                      <c:pt idx="16" formatCode="0">
                        <c:v>1945</c:v>
                      </c:pt>
                      <c:pt idx="17">
                        <c:v>1936</c:v>
                      </c:pt>
                      <c:pt idx="18">
                        <c:v>1923</c:v>
                      </c:pt>
                      <c:pt idx="19">
                        <c:v>1921</c:v>
                      </c:pt>
                      <c:pt idx="20">
                        <c:v>1917</c:v>
                      </c:pt>
                      <c:pt idx="21">
                        <c:v>1901</c:v>
                      </c:pt>
                      <c:pt idx="22">
                        <c:v>1895</c:v>
                      </c:pt>
                      <c:pt idx="23">
                        <c:v>1890</c:v>
                      </c:pt>
                      <c:pt idx="24">
                        <c:v>1880</c:v>
                      </c:pt>
                      <c:pt idx="25" formatCode="0">
                        <c:v>1862</c:v>
                      </c:pt>
                      <c:pt idx="26" formatCode="0">
                        <c:v>1858</c:v>
                      </c:pt>
                      <c:pt idx="27" formatCode="0">
                        <c:v>1838</c:v>
                      </c:pt>
                      <c:pt idx="28" formatCode="0">
                        <c:v>1842</c:v>
                      </c:pt>
                      <c:pt idx="29">
                        <c:v>1839</c:v>
                      </c:pt>
                      <c:pt idx="30">
                        <c:v>1818</c:v>
                      </c:pt>
                      <c:pt idx="31">
                        <c:v>1816</c:v>
                      </c:pt>
                      <c:pt idx="32">
                        <c:v>1806</c:v>
                      </c:pt>
                      <c:pt idx="33">
                        <c:v>1803</c:v>
                      </c:pt>
                      <c:pt idx="34">
                        <c:v>1778</c:v>
                      </c:pt>
                      <c:pt idx="35">
                        <c:v>1751</c:v>
                      </c:pt>
                      <c:pt idx="36">
                        <c:v>1735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052D-4E8E-89F5-6A5410A4160E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% Placed 5 Year Summary</a:t>
            </a:r>
          </a:p>
        </c:rich>
      </c:tx>
      <c:layout>
        <c:manualLayout>
          <c:xMode val="edge"/>
          <c:yMode val="edge"/>
          <c:x val="3.2891971139590817E-2"/>
          <c:y val="1.97833147568882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'MSB Full-Time Dashboard'!$O$24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'MSB Full-Time Dashboard'!$M$25:$M$38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'MSB Full-Time Dashboard'!$O$25:$O$38</c:f>
              <c:numCache>
                <c:formatCode>0.00%</c:formatCode>
                <c:ptCount val="14"/>
                <c:pt idx="0">
                  <c:v>0.1017</c:v>
                </c:pt>
                <c:pt idx="1">
                  <c:v>0.14149999999999999</c:v>
                </c:pt>
                <c:pt idx="2">
                  <c:v>0.21360000000000001</c:v>
                </c:pt>
                <c:pt idx="3">
                  <c:v>0.2873</c:v>
                </c:pt>
                <c:pt idx="4">
                  <c:v>0.31690000000000002</c:v>
                </c:pt>
                <c:pt idx="5">
                  <c:v>0.4466</c:v>
                </c:pt>
                <c:pt idx="6">
                  <c:v>0.52459999999999996</c:v>
                </c:pt>
                <c:pt idx="7">
                  <c:v>0.61780000000000002</c:v>
                </c:pt>
                <c:pt idx="8">
                  <c:v>0.70589999999999997</c:v>
                </c:pt>
                <c:pt idx="9">
                  <c:v>0.77290000000000003</c:v>
                </c:pt>
                <c:pt idx="10">
                  <c:v>0.82289999999999996</c:v>
                </c:pt>
                <c:pt idx="11">
                  <c:v>0.89580000000000004</c:v>
                </c:pt>
                <c:pt idx="12">
                  <c:v>0.93140000000000001</c:v>
                </c:pt>
                <c:pt idx="13">
                  <c:v>0.95589999999999997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13-43DC-A317-BE30EA220632}"/>
            </c:ext>
          </c:extLst>
        </c:ser>
        <c:ser>
          <c:idx val="2"/>
          <c:order val="1"/>
          <c:tx>
            <c:strRef>
              <c:f>'MSB Full-Time Dashboard'!$P$24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'MSB Full-Time Dashboard'!$M$25:$M$38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'MSB Full-Time Dashboard'!$P$25:$P$38</c:f>
              <c:numCache>
                <c:formatCode>0.00%</c:formatCode>
                <c:ptCount val="14"/>
                <c:pt idx="0">
                  <c:v>0.12</c:v>
                </c:pt>
                <c:pt idx="1">
                  <c:v>0.19089999999999999</c:v>
                </c:pt>
                <c:pt idx="2">
                  <c:v>0.28000000000000003</c:v>
                </c:pt>
                <c:pt idx="3">
                  <c:v>0.32729999999999998</c:v>
                </c:pt>
                <c:pt idx="4">
                  <c:v>0.38819999999999999</c:v>
                </c:pt>
                <c:pt idx="5">
                  <c:v>0.48359999999999997</c:v>
                </c:pt>
                <c:pt idx="6">
                  <c:v>0.56359999999999999</c:v>
                </c:pt>
                <c:pt idx="7">
                  <c:v>0.64180000000000004</c:v>
                </c:pt>
                <c:pt idx="8">
                  <c:v>0.72270000000000001</c:v>
                </c:pt>
                <c:pt idx="9">
                  <c:v>0.77180000000000004</c:v>
                </c:pt>
                <c:pt idx="10">
                  <c:v>0.82089999999999996</c:v>
                </c:pt>
                <c:pt idx="11">
                  <c:v>0.93089999999999995</c:v>
                </c:pt>
                <c:pt idx="12">
                  <c:v>0.94179999999999997</c:v>
                </c:pt>
                <c:pt idx="13">
                  <c:v>0.94359999999999999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3913-43DC-A317-BE30EA220632}"/>
            </c:ext>
          </c:extLst>
        </c:ser>
        <c:ser>
          <c:idx val="3"/>
          <c:order val="2"/>
          <c:tx>
            <c:strRef>
              <c:f>'MSB Full-Time Dashboard'!$Q$24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'MSB Full-Time Dashboard'!$M$25:$M$38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'MSB Full-Time Dashboard'!$Q$25:$Q$38</c:f>
              <c:numCache>
                <c:formatCode>0.00%</c:formatCode>
                <c:ptCount val="14"/>
                <c:pt idx="0">
                  <c:v>8.5999999999999993E-2</c:v>
                </c:pt>
                <c:pt idx="1">
                  <c:v>0.1196</c:v>
                </c:pt>
                <c:pt idx="2">
                  <c:v>0.215</c:v>
                </c:pt>
                <c:pt idx="3">
                  <c:v>0.32800000000000001</c:v>
                </c:pt>
                <c:pt idx="4">
                  <c:v>0.35980000000000001</c:v>
                </c:pt>
                <c:pt idx="5">
                  <c:v>0.40839999999999999</c:v>
                </c:pt>
                <c:pt idx="6">
                  <c:v>0.46820000000000001</c:v>
                </c:pt>
                <c:pt idx="7">
                  <c:v>0.60929999999999995</c:v>
                </c:pt>
                <c:pt idx="8">
                  <c:v>0.68410000000000004</c:v>
                </c:pt>
                <c:pt idx="9">
                  <c:v>0.8</c:v>
                </c:pt>
                <c:pt idx="10">
                  <c:v>0.85609999999999997</c:v>
                </c:pt>
                <c:pt idx="11">
                  <c:v>0.92059999999999997</c:v>
                </c:pt>
                <c:pt idx="12">
                  <c:v>0.93179999999999996</c:v>
                </c:pt>
                <c:pt idx="13">
                  <c:v>0.94110000000000005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3913-43DC-A317-BE30EA220632}"/>
            </c:ext>
          </c:extLst>
        </c:ser>
        <c:ser>
          <c:idx val="4"/>
          <c:order val="3"/>
          <c:tx>
            <c:strRef>
              <c:f>'MSB Full-Time Dashboard'!$R$24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'MSB Full-Time Dashboard'!$M$25:$M$38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'MSB Full-Time Dashboard'!$R$25:$R$38</c:f>
              <c:numCache>
                <c:formatCode>0.00%</c:formatCode>
                <c:ptCount val="14"/>
                <c:pt idx="0">
                  <c:v>0.1171</c:v>
                </c:pt>
                <c:pt idx="1">
                  <c:v>0.2165</c:v>
                </c:pt>
                <c:pt idx="2">
                  <c:v>0.29549999999999998</c:v>
                </c:pt>
                <c:pt idx="3">
                  <c:v>0.36899999999999999</c:v>
                </c:pt>
                <c:pt idx="4">
                  <c:v>0.40799999999999997</c:v>
                </c:pt>
                <c:pt idx="5">
                  <c:v>0.4572</c:v>
                </c:pt>
                <c:pt idx="6">
                  <c:v>0.57430000000000003</c:v>
                </c:pt>
                <c:pt idx="7">
                  <c:v>0.69699999999999995</c:v>
                </c:pt>
                <c:pt idx="8">
                  <c:v>0.7742</c:v>
                </c:pt>
                <c:pt idx="9">
                  <c:v>0.82430000000000003</c:v>
                </c:pt>
                <c:pt idx="10">
                  <c:v>0.87270000000000003</c:v>
                </c:pt>
                <c:pt idx="11">
                  <c:v>0.96560000000000001</c:v>
                </c:pt>
                <c:pt idx="12">
                  <c:v>0.97030000000000005</c:v>
                </c:pt>
                <c:pt idx="13">
                  <c:v>0.97399999999999998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3913-43DC-A317-BE30EA220632}"/>
            </c:ext>
          </c:extLst>
        </c:ser>
        <c:ser>
          <c:idx val="5"/>
          <c:order val="4"/>
          <c:tx>
            <c:strRef>
              <c:f>'MSB Full-Time Dashboard'!$S$24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'MSB Full-Time Dashboard'!$M$25:$M$38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'MSB Full-Time Dashboard'!$S$25:$S$38</c:f>
              <c:numCache>
                <c:formatCode>0.00%</c:formatCode>
                <c:ptCount val="14"/>
                <c:pt idx="0">
                  <c:v>0.13239999999999999</c:v>
                </c:pt>
                <c:pt idx="1">
                  <c:v>0.20119999999999999</c:v>
                </c:pt>
                <c:pt idx="2">
                  <c:v>0.2515</c:v>
                </c:pt>
                <c:pt idx="3">
                  <c:v>0.35010000000000002</c:v>
                </c:pt>
                <c:pt idx="4">
                  <c:v>0.37890000000000001</c:v>
                </c:pt>
                <c:pt idx="5">
                  <c:v>0.42299999999999999</c:v>
                </c:pt>
                <c:pt idx="6">
                  <c:v>0.48559999999999998</c:v>
                </c:pt>
                <c:pt idx="7">
                  <c:v>0.63660000000000005</c:v>
                </c:pt>
                <c:pt idx="8">
                  <c:v>0.75260000000000005</c:v>
                </c:pt>
                <c:pt idx="9">
                  <c:v>0.79159999999999997</c:v>
                </c:pt>
                <c:pt idx="10">
                  <c:v>0.8891</c:v>
                </c:pt>
                <c:pt idx="11">
                  <c:v>0.92300000000000004</c:v>
                </c:pt>
                <c:pt idx="12">
                  <c:v>0.95689999999999997</c:v>
                </c:pt>
                <c:pt idx="13">
                  <c:v>0.96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3913-43DC-A317-BE30EA220632}"/>
            </c:ext>
          </c:extLst>
        </c:ser>
        <c:ser>
          <c:idx val="0"/>
          <c:order val="5"/>
          <c:tx>
            <c:strRef>
              <c:f>'MSB Full-Time Dashboard'!$N$24</c:f>
              <c:strCache>
                <c:ptCount val="1"/>
                <c:pt idx="0">
                  <c:v>2026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'MSB Full-Time Dashboard'!$M$25:$M$38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'MSB Full-Time Dashboard'!$N$25:$N$38</c:f>
              <c:numCache>
                <c:formatCode>0.00%</c:formatCode>
                <c:ptCount val="14"/>
                <c:pt idx="0">
                  <c:v>0.11078546307151231</c:v>
                </c:pt>
                <c:pt idx="1">
                  <c:v>0.15123094958968347</c:v>
                </c:pt>
                <c:pt idx="2">
                  <c:v>0.22743259085580306</c:v>
                </c:pt>
                <c:pt idx="3">
                  <c:v>0.27432590855803046</c:v>
                </c:pt>
                <c:pt idx="4">
                  <c:v>0.33470105509964831</c:v>
                </c:pt>
                <c:pt idx="5">
                  <c:v>0.44619999999999999</c:v>
                </c:pt>
                <c:pt idx="6">
                  <c:v>0.50580000000000003</c:v>
                </c:pt>
                <c:pt idx="7">
                  <c:v>0.59409999999999996</c:v>
                </c:pt>
                <c:pt idx="8">
                  <c:v>0.71630000000000005</c:v>
                </c:pt>
                <c:pt idx="9">
                  <c:v>0.7913</c:v>
                </c:pt>
                <c:pt idx="10">
                  <c:v>0.85809999999999997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913-43DC-A317-BE30EA2206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% Placed 5 Year Summary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BSAcc!$O$24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BSAcc!$O$25:$O$38</c:f>
              <c:numCache>
                <c:formatCode>0.00%</c:formatCode>
                <c:ptCount val="14"/>
                <c:pt idx="0">
                  <c:v>0.2878787878787879</c:v>
                </c:pt>
                <c:pt idx="1">
                  <c:v>0.33333333333333331</c:v>
                </c:pt>
                <c:pt idx="2">
                  <c:v>0.37878787878787878</c:v>
                </c:pt>
                <c:pt idx="3">
                  <c:v>0.42424242424242425</c:v>
                </c:pt>
                <c:pt idx="4">
                  <c:v>0.45454545454545453</c:v>
                </c:pt>
                <c:pt idx="5">
                  <c:v>0.53030303030303028</c:v>
                </c:pt>
                <c:pt idx="6">
                  <c:v>0.66666666666666663</c:v>
                </c:pt>
                <c:pt idx="7">
                  <c:v>0.78787878787878785</c:v>
                </c:pt>
                <c:pt idx="8">
                  <c:v>0.89393939393939392</c:v>
                </c:pt>
                <c:pt idx="9">
                  <c:v>0.96969696969696972</c:v>
                </c:pt>
                <c:pt idx="10">
                  <c:v>0.96969696969696972</c:v>
                </c:pt>
                <c:pt idx="11">
                  <c:v>0.98484848484848486</c:v>
                </c:pt>
                <c:pt idx="12">
                  <c:v>0.98484848484848486</c:v>
                </c:pt>
                <c:pt idx="13">
                  <c:v>0.98484848484848486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40-47E0-BC8E-64EE700A7883}"/>
            </c:ext>
          </c:extLst>
        </c:ser>
        <c:ser>
          <c:idx val="2"/>
          <c:order val="1"/>
          <c:tx>
            <c:strRef>
              <c:f>BSAcc!$P$24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BSAcc!$P$25:$P$38</c:f>
              <c:numCache>
                <c:formatCode>0.00%</c:formatCode>
                <c:ptCount val="14"/>
                <c:pt idx="0">
                  <c:v>0.17391304347826086</c:v>
                </c:pt>
                <c:pt idx="1">
                  <c:v>0.33333333333333331</c:v>
                </c:pt>
                <c:pt idx="2">
                  <c:v>0.44927536231884058</c:v>
                </c:pt>
                <c:pt idx="3">
                  <c:v>0.52173913043478259</c:v>
                </c:pt>
                <c:pt idx="4">
                  <c:v>0.59420289855072461</c:v>
                </c:pt>
                <c:pt idx="5">
                  <c:v>0.62318840579710144</c:v>
                </c:pt>
                <c:pt idx="6">
                  <c:v>0.72463768115942029</c:v>
                </c:pt>
                <c:pt idx="7">
                  <c:v>0.79710144927536231</c:v>
                </c:pt>
                <c:pt idx="8">
                  <c:v>0.91304347826086951</c:v>
                </c:pt>
                <c:pt idx="9">
                  <c:v>0.94202898550724634</c:v>
                </c:pt>
                <c:pt idx="10">
                  <c:v>0.98550724637681164</c:v>
                </c:pt>
                <c:pt idx="11">
                  <c:v>0.98550724637681164</c:v>
                </c:pt>
                <c:pt idx="12">
                  <c:v>0.98550724637681164</c:v>
                </c:pt>
                <c:pt idx="13">
                  <c:v>0.98550724637681164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DB40-47E0-BC8E-64EE700A7883}"/>
            </c:ext>
          </c:extLst>
        </c:ser>
        <c:ser>
          <c:idx val="3"/>
          <c:order val="2"/>
          <c:tx>
            <c:strRef>
              <c:f>BSAcc!$Q$24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BSAcc!$Q$25:$Q$38</c:f>
              <c:numCache>
                <c:formatCode>0.00%</c:formatCode>
                <c:ptCount val="14"/>
                <c:pt idx="0">
                  <c:v>7.3529411764705885E-2</c:v>
                </c:pt>
                <c:pt idx="1">
                  <c:v>8.8235294117647065E-2</c:v>
                </c:pt>
                <c:pt idx="2">
                  <c:v>0.14705882352941177</c:v>
                </c:pt>
                <c:pt idx="3">
                  <c:v>0.23529411764705882</c:v>
                </c:pt>
                <c:pt idx="4">
                  <c:v>0.3235294117647059</c:v>
                </c:pt>
                <c:pt idx="5">
                  <c:v>0.38235294117647056</c:v>
                </c:pt>
                <c:pt idx="6">
                  <c:v>0.48529411764705882</c:v>
                </c:pt>
                <c:pt idx="7">
                  <c:v>0.86764705882352944</c:v>
                </c:pt>
                <c:pt idx="8">
                  <c:v>0.94117647058823528</c:v>
                </c:pt>
                <c:pt idx="9">
                  <c:v>0.94117647058823528</c:v>
                </c:pt>
                <c:pt idx="10">
                  <c:v>0.95588235294117652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DB40-47E0-BC8E-64EE700A7883}"/>
            </c:ext>
          </c:extLst>
        </c:ser>
        <c:ser>
          <c:idx val="4"/>
          <c:order val="3"/>
          <c:tx>
            <c:strRef>
              <c:f>BSAcc!$R$24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BSAcc!$R$25:$R$38</c:f>
              <c:numCache>
                <c:formatCode>0.00%</c:formatCode>
                <c:ptCount val="14"/>
                <c:pt idx="0">
                  <c:v>8.2191780821917804E-2</c:v>
                </c:pt>
                <c:pt idx="1">
                  <c:v>0.20547945205479451</c:v>
                </c:pt>
                <c:pt idx="2">
                  <c:v>0.26027397260273971</c:v>
                </c:pt>
                <c:pt idx="3">
                  <c:v>0.31506849315068491</c:v>
                </c:pt>
                <c:pt idx="4">
                  <c:v>0.34246575342465752</c:v>
                </c:pt>
                <c:pt idx="5">
                  <c:v>0.36986301369863012</c:v>
                </c:pt>
                <c:pt idx="6">
                  <c:v>0.57534246575342463</c:v>
                </c:pt>
                <c:pt idx="7">
                  <c:v>0.82191780821917804</c:v>
                </c:pt>
                <c:pt idx="8">
                  <c:v>0.95890410958904104</c:v>
                </c:pt>
                <c:pt idx="9">
                  <c:v>0.95890410958904104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DB40-47E0-BC8E-64EE700A7883}"/>
            </c:ext>
          </c:extLst>
        </c:ser>
        <c:ser>
          <c:idx val="5"/>
          <c:order val="4"/>
          <c:tx>
            <c:strRef>
              <c:f>BSAcc!$S$24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BSAcc!$S$25:$S$38</c:f>
              <c:numCache>
                <c:formatCode>0.00%</c:formatCode>
                <c:ptCount val="14"/>
                <c:pt idx="0">
                  <c:v>0.22950819672131148</c:v>
                </c:pt>
                <c:pt idx="1">
                  <c:v>0.31147540983606559</c:v>
                </c:pt>
                <c:pt idx="2">
                  <c:v>0.31147540983606559</c:v>
                </c:pt>
                <c:pt idx="3">
                  <c:v>0.4098360655737705</c:v>
                </c:pt>
                <c:pt idx="4">
                  <c:v>0.42622950819672129</c:v>
                </c:pt>
                <c:pt idx="5">
                  <c:v>0.44262295081967212</c:v>
                </c:pt>
                <c:pt idx="6">
                  <c:v>0.49180327868852458</c:v>
                </c:pt>
                <c:pt idx="7">
                  <c:v>0.72131147540983609</c:v>
                </c:pt>
                <c:pt idx="8">
                  <c:v>0.83606557377049184</c:v>
                </c:pt>
                <c:pt idx="9">
                  <c:v>0.86885245901639341</c:v>
                </c:pt>
                <c:pt idx="10">
                  <c:v>0.90163934426229508</c:v>
                </c:pt>
                <c:pt idx="11">
                  <c:v>0.91803278688524592</c:v>
                </c:pt>
                <c:pt idx="12">
                  <c:v>0.95081967213114749</c:v>
                </c:pt>
                <c:pt idx="13">
                  <c:v>0.95081967213114749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DB40-47E0-BC8E-64EE700A7883}"/>
            </c:ext>
          </c:extLst>
        </c:ser>
        <c:ser>
          <c:idx val="0"/>
          <c:order val="5"/>
          <c:tx>
            <c:strRef>
              <c:f>BSAcc!$N$24</c:f>
              <c:strCache>
                <c:ptCount val="1"/>
                <c:pt idx="0">
                  <c:v>2026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BSAcc!$M$25:$M$38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BSAcc!$N$25:$N$38</c:f>
              <c:numCache>
                <c:formatCode>0.00%</c:formatCode>
                <c:ptCount val="14"/>
                <c:pt idx="2">
                  <c:v>0.29360000000000003</c:v>
                </c:pt>
                <c:pt idx="3">
                  <c:v>0.3271</c:v>
                </c:pt>
                <c:pt idx="4">
                  <c:v>0.3448</c:v>
                </c:pt>
                <c:pt idx="5">
                  <c:v>0.4466</c:v>
                </c:pt>
                <c:pt idx="6">
                  <c:v>0.52129999999999999</c:v>
                </c:pt>
                <c:pt idx="7">
                  <c:v>0.61180000000000001</c:v>
                </c:pt>
                <c:pt idx="8">
                  <c:v>0.8871</c:v>
                </c:pt>
                <c:pt idx="9">
                  <c:v>0.96609999999999996</c:v>
                </c:pt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B40-47E0-BC8E-64EE700A7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Placement</a:t>
            </a:r>
            <a:r>
              <a:rPr lang="en-US" baseline="0"/>
              <a:t> Trend</a:t>
            </a:r>
            <a:endParaRPr lang="en-US"/>
          </a:p>
        </c:rich>
      </c:tx>
      <c:layout>
        <c:manualLayout>
          <c:xMode val="edge"/>
          <c:yMode val="edge"/>
          <c:x val="4.5281514698555056E-2"/>
          <c:y val="2.23463621618023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NittyGrittySheet!$A$41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NittyGrittySheet!$B$40:$AL$40</c:f>
              <c:strCache>
                <c:ptCount val="37"/>
                <c:pt idx="0">
                  <c:v>10/13/2025</c:v>
                </c:pt>
                <c:pt idx="1">
                  <c:v>10/17/2025</c:v>
                </c:pt>
                <c:pt idx="2">
                  <c:v>10/24/2025</c:v>
                </c:pt>
                <c:pt idx="3">
                  <c:v>10/31/2025</c:v>
                </c:pt>
                <c:pt idx="4">
                  <c:v>11/7/2025</c:v>
                </c:pt>
                <c:pt idx="5">
                  <c:v>11/14/2025</c:v>
                </c:pt>
                <c:pt idx="6">
                  <c:v>11/21/2025</c:v>
                </c:pt>
                <c:pt idx="7">
                  <c:v>11/28/2025</c:v>
                </c:pt>
                <c:pt idx="8">
                  <c:v>12/5/2025</c:v>
                </c:pt>
                <c:pt idx="9">
                  <c:v>12/12/2025</c:v>
                </c:pt>
                <c:pt idx="10">
                  <c:v>12/19/2025</c:v>
                </c:pt>
                <c:pt idx="11">
                  <c:v>12/26/2025</c:v>
                </c:pt>
                <c:pt idx="12">
                  <c:v>1/2/2026</c:v>
                </c:pt>
                <c:pt idx="13">
                  <c:v>1/9/2026</c:v>
                </c:pt>
                <c:pt idx="14">
                  <c:v>1/16/2026</c:v>
                </c:pt>
                <c:pt idx="15">
                  <c:v>1/23/2026</c:v>
                </c:pt>
                <c:pt idx="16">
                  <c:v>1/30/2026</c:v>
                </c:pt>
                <c:pt idx="17">
                  <c:v>2/6/2026</c:v>
                </c:pt>
                <c:pt idx="18">
                  <c:v>2/13/2026</c:v>
                </c:pt>
                <c:pt idx="19">
                  <c:v>2/20/2026</c:v>
                </c:pt>
                <c:pt idx="20">
                  <c:v>2/27/2026</c:v>
                </c:pt>
                <c:pt idx="21">
                  <c:v>3/13/2026</c:v>
                </c:pt>
                <c:pt idx="22">
                  <c:v>3/20/2026</c:v>
                </c:pt>
                <c:pt idx="23">
                  <c:v>3/27/2026</c:v>
                </c:pt>
                <c:pt idx="24">
                  <c:v>4/3/2026</c:v>
                </c:pt>
                <c:pt idx="25">
                  <c:v>4/10/2026</c:v>
                </c:pt>
                <c:pt idx="26">
                  <c:v>4/17/2026</c:v>
                </c:pt>
                <c:pt idx="27">
                  <c:v>4/24/2026</c:v>
                </c:pt>
                <c:pt idx="28">
                  <c:v>5/1/2026</c:v>
                </c:pt>
                <c:pt idx="29">
                  <c:v>5/8/2026</c:v>
                </c:pt>
                <c:pt idx="30">
                  <c:v>5/15/2026</c:v>
                </c:pt>
                <c:pt idx="31">
                  <c:v>5/22/2026</c:v>
                </c:pt>
                <c:pt idx="32">
                  <c:v>05/29/2026</c:v>
                </c:pt>
                <c:pt idx="33">
                  <c:v>6/5/2026</c:v>
                </c:pt>
                <c:pt idx="34">
                  <c:v>6/12/2026</c:v>
                </c:pt>
                <c:pt idx="35">
                  <c:v>6/19/2026</c:v>
                </c:pt>
                <c:pt idx="36">
                  <c:v>6/26/2026</c:v>
                </c:pt>
              </c:strCache>
            </c:strRef>
          </c:cat>
          <c:val>
            <c:numRef>
              <c:f>NittyGrittySheet!$B$41:$AL$41</c:f>
              <c:numCache>
                <c:formatCode>0.00%</c:formatCode>
                <c:ptCount val="37"/>
                <c:pt idx="0">
                  <c:v>0.2321</c:v>
                </c:pt>
                <c:pt idx="1">
                  <c:v>0.2432</c:v>
                </c:pt>
                <c:pt idx="2">
                  <c:v>0.2727</c:v>
                </c:pt>
                <c:pt idx="3">
                  <c:v>0.29360000000000003</c:v>
                </c:pt>
                <c:pt idx="4">
                  <c:v>0.31780000000000003</c:v>
                </c:pt>
                <c:pt idx="5">
                  <c:v>0.31480000000000002</c:v>
                </c:pt>
                <c:pt idx="6">
                  <c:v>0.3211</c:v>
                </c:pt>
                <c:pt idx="7">
                  <c:v>0.3271</c:v>
                </c:pt>
                <c:pt idx="8">
                  <c:v>0.33329999999999999</c:v>
                </c:pt>
                <c:pt idx="9">
                  <c:v>0.34189999999999998</c:v>
                </c:pt>
                <c:pt idx="10">
                  <c:v>0.34189999999999998</c:v>
                </c:pt>
                <c:pt idx="11">
                  <c:v>0.3448</c:v>
                </c:pt>
                <c:pt idx="12">
                  <c:v>0.36280000000000001</c:v>
                </c:pt>
                <c:pt idx="13">
                  <c:v>0.37719999999999998</c:v>
                </c:pt>
                <c:pt idx="14">
                  <c:v>0.4259</c:v>
                </c:pt>
                <c:pt idx="15">
                  <c:v>0.4259</c:v>
                </c:pt>
                <c:pt idx="16">
                  <c:v>0.4466</c:v>
                </c:pt>
                <c:pt idx="17">
                  <c:v>0.44230000000000003</c:v>
                </c:pt>
                <c:pt idx="18">
                  <c:v>0.5</c:v>
                </c:pt>
                <c:pt idx="19">
                  <c:v>0.52129999999999999</c:v>
                </c:pt>
                <c:pt idx="20">
                  <c:v>0.52129999999999999</c:v>
                </c:pt>
                <c:pt idx="21">
                  <c:v>0.56040000000000001</c:v>
                </c:pt>
                <c:pt idx="22">
                  <c:v>0.55559999999999998</c:v>
                </c:pt>
                <c:pt idx="23">
                  <c:v>0.57950000000000002</c:v>
                </c:pt>
                <c:pt idx="24">
                  <c:v>0.61629999999999996</c:v>
                </c:pt>
                <c:pt idx="25">
                  <c:v>0.67949999999999999</c:v>
                </c:pt>
                <c:pt idx="26">
                  <c:v>0.79410000000000003</c:v>
                </c:pt>
                <c:pt idx="27">
                  <c:v>0.88519999999999999</c:v>
                </c:pt>
                <c:pt idx="28">
                  <c:v>0.8871</c:v>
                </c:pt>
                <c:pt idx="29">
                  <c:v>0.95</c:v>
                </c:pt>
                <c:pt idx="30">
                  <c:v>0.96550000000000002</c:v>
                </c:pt>
                <c:pt idx="31">
                  <c:v>0.94920000000000004</c:v>
                </c:pt>
                <c:pt idx="32">
                  <c:v>0.96609999999999996</c:v>
                </c:pt>
                <c:pt idx="33">
                  <c:v>0.98280000000000001</c:v>
                </c:pt>
                <c:pt idx="34">
                  <c:v>0.98280000000000001</c:v>
                </c:pt>
                <c:pt idx="35">
                  <c:v>0.98180000000000012</c:v>
                </c:pt>
                <c:pt idx="3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0E-4EA3-95C4-AD893D03E9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Search Status</a:t>
            </a:r>
          </a:p>
        </c:rich>
      </c:tx>
      <c:layout>
        <c:manualLayout>
          <c:xMode val="edge"/>
          <c:yMode val="edge"/>
          <c:x val="4.7488412785611098E-2"/>
          <c:y val="2.24089635854341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NittyGrittySheet!$A$44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NittyGrittySheet!$B$43:$AL$43</c:f>
              <c:strCache>
                <c:ptCount val="37"/>
                <c:pt idx="0">
                  <c:v>10/13/2025</c:v>
                </c:pt>
                <c:pt idx="1">
                  <c:v>10/17/2025</c:v>
                </c:pt>
                <c:pt idx="2">
                  <c:v>10/24/2025</c:v>
                </c:pt>
                <c:pt idx="3">
                  <c:v>10/31/2025</c:v>
                </c:pt>
                <c:pt idx="4">
                  <c:v>11/7/2025</c:v>
                </c:pt>
                <c:pt idx="5">
                  <c:v>11/14/2025</c:v>
                </c:pt>
                <c:pt idx="6">
                  <c:v>11/21/2025</c:v>
                </c:pt>
                <c:pt idx="7">
                  <c:v>11/28/2025</c:v>
                </c:pt>
                <c:pt idx="8">
                  <c:v>12/5/2025</c:v>
                </c:pt>
                <c:pt idx="9">
                  <c:v>12/12/2025</c:v>
                </c:pt>
                <c:pt idx="10">
                  <c:v>12/19/2025</c:v>
                </c:pt>
                <c:pt idx="11">
                  <c:v>12/26/2025</c:v>
                </c:pt>
                <c:pt idx="12">
                  <c:v>1/2/2026</c:v>
                </c:pt>
                <c:pt idx="13">
                  <c:v>1/9/2026</c:v>
                </c:pt>
                <c:pt idx="14">
                  <c:v>1/16/2026</c:v>
                </c:pt>
                <c:pt idx="15">
                  <c:v>1/23/2026</c:v>
                </c:pt>
                <c:pt idx="16">
                  <c:v>1/30/2026</c:v>
                </c:pt>
                <c:pt idx="17">
                  <c:v>2/6/2026</c:v>
                </c:pt>
                <c:pt idx="18">
                  <c:v>2/13/2026</c:v>
                </c:pt>
                <c:pt idx="19">
                  <c:v>2/20/2026</c:v>
                </c:pt>
                <c:pt idx="20">
                  <c:v>2/27/2026</c:v>
                </c:pt>
                <c:pt idx="21">
                  <c:v>3/13/2026</c:v>
                </c:pt>
                <c:pt idx="22">
                  <c:v>3/20/2026</c:v>
                </c:pt>
                <c:pt idx="23">
                  <c:v>3/27/2026</c:v>
                </c:pt>
                <c:pt idx="24">
                  <c:v>4/3/2026</c:v>
                </c:pt>
                <c:pt idx="25">
                  <c:v>4/10/2026</c:v>
                </c:pt>
                <c:pt idx="26">
                  <c:v>4/17/2026</c:v>
                </c:pt>
                <c:pt idx="27">
                  <c:v>4/24/2026</c:v>
                </c:pt>
                <c:pt idx="28">
                  <c:v>5/1/2026</c:v>
                </c:pt>
                <c:pt idx="29">
                  <c:v>5/8/2026</c:v>
                </c:pt>
                <c:pt idx="30">
                  <c:v>5/15/2026</c:v>
                </c:pt>
                <c:pt idx="31">
                  <c:v>5/22/2026</c:v>
                </c:pt>
                <c:pt idx="32">
                  <c:v>05/29/2026</c:v>
                </c:pt>
                <c:pt idx="33">
                  <c:v>6/5/2026</c:v>
                </c:pt>
                <c:pt idx="34">
                  <c:v>6/12/2026</c:v>
                </c:pt>
                <c:pt idx="35">
                  <c:v>6/19/2026</c:v>
                </c:pt>
                <c:pt idx="36">
                  <c:v>6/26/2026</c:v>
                </c:pt>
              </c:strCache>
            </c:strRef>
          </c:cat>
          <c:val>
            <c:numRef>
              <c:f>NittyGrittySheet!$B$44:$AL$44</c:f>
              <c:numCache>
                <c:formatCode>General</c:formatCode>
                <c:ptCount val="37"/>
                <c:pt idx="0">
                  <c:v>26</c:v>
                </c:pt>
                <c:pt idx="1">
                  <c:v>27</c:v>
                </c:pt>
                <c:pt idx="2">
                  <c:v>30</c:v>
                </c:pt>
                <c:pt idx="3">
                  <c:v>32</c:v>
                </c:pt>
                <c:pt idx="4">
                  <c:v>34</c:v>
                </c:pt>
                <c:pt idx="5">
                  <c:v>34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40</c:v>
                </c:pt>
                <c:pt idx="10">
                  <c:v>40</c:v>
                </c:pt>
                <c:pt idx="11">
                  <c:v>40</c:v>
                </c:pt>
                <c:pt idx="12">
                  <c:v>41</c:v>
                </c:pt>
                <c:pt idx="13">
                  <c:v>43</c:v>
                </c:pt>
                <c:pt idx="14">
                  <c:v>46</c:v>
                </c:pt>
                <c:pt idx="15">
                  <c:v>46</c:v>
                </c:pt>
                <c:pt idx="16">
                  <c:v>46</c:v>
                </c:pt>
                <c:pt idx="17">
                  <c:v>46</c:v>
                </c:pt>
                <c:pt idx="18">
                  <c:v>48</c:v>
                </c:pt>
                <c:pt idx="19">
                  <c:v>49</c:v>
                </c:pt>
                <c:pt idx="20">
                  <c:v>49</c:v>
                </c:pt>
                <c:pt idx="21">
                  <c:v>51</c:v>
                </c:pt>
                <c:pt idx="22">
                  <c:v>50</c:v>
                </c:pt>
                <c:pt idx="23">
                  <c:v>51</c:v>
                </c:pt>
                <c:pt idx="24">
                  <c:v>53</c:v>
                </c:pt>
                <c:pt idx="25">
                  <c:v>53</c:v>
                </c:pt>
                <c:pt idx="26">
                  <c:v>54</c:v>
                </c:pt>
                <c:pt idx="27">
                  <c:v>54</c:v>
                </c:pt>
                <c:pt idx="28">
                  <c:v>55</c:v>
                </c:pt>
                <c:pt idx="29">
                  <c:v>57</c:v>
                </c:pt>
                <c:pt idx="30">
                  <c:v>56</c:v>
                </c:pt>
                <c:pt idx="31">
                  <c:v>56</c:v>
                </c:pt>
                <c:pt idx="32">
                  <c:v>57</c:v>
                </c:pt>
                <c:pt idx="33">
                  <c:v>57</c:v>
                </c:pt>
                <c:pt idx="34">
                  <c:v>57</c:v>
                </c:pt>
                <c:pt idx="35">
                  <c:v>54</c:v>
                </c:pt>
                <c:pt idx="36">
                  <c:v>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94-4F28-A08D-84BA271E6ACE}"/>
            </c:ext>
          </c:extLst>
        </c:ser>
        <c:ser>
          <c:idx val="1"/>
          <c:order val="1"/>
          <c:tx>
            <c:strRef>
              <c:f>NittyGrittySheet!$A$45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NittyGrittySheet!$B$43:$AL$43</c:f>
              <c:strCache>
                <c:ptCount val="37"/>
                <c:pt idx="0">
                  <c:v>10/13/2025</c:v>
                </c:pt>
                <c:pt idx="1">
                  <c:v>10/17/2025</c:v>
                </c:pt>
                <c:pt idx="2">
                  <c:v>10/24/2025</c:v>
                </c:pt>
                <c:pt idx="3">
                  <c:v>10/31/2025</c:v>
                </c:pt>
                <c:pt idx="4">
                  <c:v>11/7/2025</c:v>
                </c:pt>
                <c:pt idx="5">
                  <c:v>11/14/2025</c:v>
                </c:pt>
                <c:pt idx="6">
                  <c:v>11/21/2025</c:v>
                </c:pt>
                <c:pt idx="7">
                  <c:v>11/28/2025</c:v>
                </c:pt>
                <c:pt idx="8">
                  <c:v>12/5/2025</c:v>
                </c:pt>
                <c:pt idx="9">
                  <c:v>12/12/2025</c:v>
                </c:pt>
                <c:pt idx="10">
                  <c:v>12/19/2025</c:v>
                </c:pt>
                <c:pt idx="11">
                  <c:v>12/26/2025</c:v>
                </c:pt>
                <c:pt idx="12">
                  <c:v>1/2/2026</c:v>
                </c:pt>
                <c:pt idx="13">
                  <c:v>1/9/2026</c:v>
                </c:pt>
                <c:pt idx="14">
                  <c:v>1/16/2026</c:v>
                </c:pt>
                <c:pt idx="15">
                  <c:v>1/23/2026</c:v>
                </c:pt>
                <c:pt idx="16">
                  <c:v>1/30/2026</c:v>
                </c:pt>
                <c:pt idx="17">
                  <c:v>2/6/2026</c:v>
                </c:pt>
                <c:pt idx="18">
                  <c:v>2/13/2026</c:v>
                </c:pt>
                <c:pt idx="19">
                  <c:v>2/20/2026</c:v>
                </c:pt>
                <c:pt idx="20">
                  <c:v>2/27/2026</c:v>
                </c:pt>
                <c:pt idx="21">
                  <c:v>3/13/2026</c:v>
                </c:pt>
                <c:pt idx="22">
                  <c:v>3/20/2026</c:v>
                </c:pt>
                <c:pt idx="23">
                  <c:v>3/27/2026</c:v>
                </c:pt>
                <c:pt idx="24">
                  <c:v>4/3/2026</c:v>
                </c:pt>
                <c:pt idx="25">
                  <c:v>4/10/2026</c:v>
                </c:pt>
                <c:pt idx="26">
                  <c:v>4/17/2026</c:v>
                </c:pt>
                <c:pt idx="27">
                  <c:v>4/24/2026</c:v>
                </c:pt>
                <c:pt idx="28">
                  <c:v>5/1/2026</c:v>
                </c:pt>
                <c:pt idx="29">
                  <c:v>5/8/2026</c:v>
                </c:pt>
                <c:pt idx="30">
                  <c:v>5/15/2026</c:v>
                </c:pt>
                <c:pt idx="31">
                  <c:v>5/22/2026</c:v>
                </c:pt>
                <c:pt idx="32">
                  <c:v>05/29/2026</c:v>
                </c:pt>
                <c:pt idx="33">
                  <c:v>6/5/2026</c:v>
                </c:pt>
                <c:pt idx="34">
                  <c:v>6/12/2026</c:v>
                </c:pt>
                <c:pt idx="35">
                  <c:v>6/19/2026</c:v>
                </c:pt>
                <c:pt idx="36">
                  <c:v>6/26/2026</c:v>
                </c:pt>
              </c:strCache>
            </c:strRef>
          </c:cat>
          <c:val>
            <c:numRef>
              <c:f>NittyGrittySheet!$B$45:$AL$45</c:f>
              <c:numCache>
                <c:formatCode>General</c:formatCode>
                <c:ptCount val="37"/>
                <c:pt idx="0">
                  <c:v>30</c:v>
                </c:pt>
                <c:pt idx="1">
                  <c:v>30</c:v>
                </c:pt>
                <c:pt idx="2">
                  <c:v>31</c:v>
                </c:pt>
                <c:pt idx="3">
                  <c:v>31</c:v>
                </c:pt>
                <c:pt idx="4">
                  <c:v>30</c:v>
                </c:pt>
                <c:pt idx="5">
                  <c:v>33</c:v>
                </c:pt>
                <c:pt idx="6">
                  <c:v>33</c:v>
                </c:pt>
                <c:pt idx="7">
                  <c:v>34</c:v>
                </c:pt>
                <c:pt idx="8">
                  <c:v>37</c:v>
                </c:pt>
                <c:pt idx="9">
                  <c:v>40</c:v>
                </c:pt>
                <c:pt idx="10">
                  <c:v>41</c:v>
                </c:pt>
                <c:pt idx="11">
                  <c:v>40</c:v>
                </c:pt>
                <c:pt idx="12">
                  <c:v>40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43</c:v>
                </c:pt>
                <c:pt idx="17">
                  <c:v>47</c:v>
                </c:pt>
                <c:pt idx="18">
                  <c:v>40</c:v>
                </c:pt>
                <c:pt idx="19">
                  <c:v>37</c:v>
                </c:pt>
                <c:pt idx="20">
                  <c:v>37</c:v>
                </c:pt>
                <c:pt idx="21">
                  <c:v>32</c:v>
                </c:pt>
                <c:pt idx="22">
                  <c:v>32</c:v>
                </c:pt>
                <c:pt idx="23">
                  <c:v>31</c:v>
                </c:pt>
                <c:pt idx="24">
                  <c:v>27</c:v>
                </c:pt>
                <c:pt idx="25">
                  <c:v>24</c:v>
                </c:pt>
                <c:pt idx="26">
                  <c:v>13</c:v>
                </c:pt>
                <c:pt idx="27">
                  <c:v>7</c:v>
                </c:pt>
                <c:pt idx="28">
                  <c:v>7</c:v>
                </c:pt>
                <c:pt idx="29">
                  <c:v>3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99-4CF3-8580-5FA5A5B0126C}"/>
            </c:ext>
          </c:extLst>
        </c:ser>
        <c:ser>
          <c:idx val="3"/>
          <c:order val="3"/>
          <c:tx>
            <c:strRef>
              <c:f>NittyGrittySheet!$A$47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NittyGrittySheet!$B$43:$AL$43</c:f>
              <c:strCache>
                <c:ptCount val="37"/>
                <c:pt idx="0">
                  <c:v>10/13/2025</c:v>
                </c:pt>
                <c:pt idx="1">
                  <c:v>10/17/2025</c:v>
                </c:pt>
                <c:pt idx="2">
                  <c:v>10/24/2025</c:v>
                </c:pt>
                <c:pt idx="3">
                  <c:v>10/31/2025</c:v>
                </c:pt>
                <c:pt idx="4">
                  <c:v>11/7/2025</c:v>
                </c:pt>
                <c:pt idx="5">
                  <c:v>11/14/2025</c:v>
                </c:pt>
                <c:pt idx="6">
                  <c:v>11/21/2025</c:v>
                </c:pt>
                <c:pt idx="7">
                  <c:v>11/28/2025</c:v>
                </c:pt>
                <c:pt idx="8">
                  <c:v>12/5/2025</c:v>
                </c:pt>
                <c:pt idx="9">
                  <c:v>12/12/2025</c:v>
                </c:pt>
                <c:pt idx="10">
                  <c:v>12/19/2025</c:v>
                </c:pt>
                <c:pt idx="11">
                  <c:v>12/26/2025</c:v>
                </c:pt>
                <c:pt idx="12">
                  <c:v>1/2/2026</c:v>
                </c:pt>
                <c:pt idx="13">
                  <c:v>1/9/2026</c:v>
                </c:pt>
                <c:pt idx="14">
                  <c:v>1/16/2026</c:v>
                </c:pt>
                <c:pt idx="15">
                  <c:v>1/23/2026</c:v>
                </c:pt>
                <c:pt idx="16">
                  <c:v>1/30/2026</c:v>
                </c:pt>
                <c:pt idx="17">
                  <c:v>2/6/2026</c:v>
                </c:pt>
                <c:pt idx="18">
                  <c:v>2/13/2026</c:v>
                </c:pt>
                <c:pt idx="19">
                  <c:v>2/20/2026</c:v>
                </c:pt>
                <c:pt idx="20">
                  <c:v>2/27/2026</c:v>
                </c:pt>
                <c:pt idx="21">
                  <c:v>3/13/2026</c:v>
                </c:pt>
                <c:pt idx="22">
                  <c:v>3/20/2026</c:v>
                </c:pt>
                <c:pt idx="23">
                  <c:v>3/27/2026</c:v>
                </c:pt>
                <c:pt idx="24">
                  <c:v>4/3/2026</c:v>
                </c:pt>
                <c:pt idx="25">
                  <c:v>4/10/2026</c:v>
                </c:pt>
                <c:pt idx="26">
                  <c:v>4/17/2026</c:v>
                </c:pt>
                <c:pt idx="27">
                  <c:v>4/24/2026</c:v>
                </c:pt>
                <c:pt idx="28">
                  <c:v>5/1/2026</c:v>
                </c:pt>
                <c:pt idx="29">
                  <c:v>5/8/2026</c:v>
                </c:pt>
                <c:pt idx="30">
                  <c:v>5/15/2026</c:v>
                </c:pt>
                <c:pt idx="31">
                  <c:v>5/22/2026</c:v>
                </c:pt>
                <c:pt idx="32">
                  <c:v>05/29/2026</c:v>
                </c:pt>
                <c:pt idx="33">
                  <c:v>6/5/2026</c:v>
                </c:pt>
                <c:pt idx="34">
                  <c:v>6/12/2026</c:v>
                </c:pt>
                <c:pt idx="35">
                  <c:v>6/19/2026</c:v>
                </c:pt>
                <c:pt idx="36">
                  <c:v>6/26/2026</c:v>
                </c:pt>
              </c:strCache>
            </c:strRef>
          </c:cat>
          <c:val>
            <c:numRef>
              <c:f>NittyGrittySheet!$B$47:$AL$47</c:f>
              <c:numCache>
                <c:formatCode>General</c:formatCode>
                <c:ptCount val="37"/>
                <c:pt idx="0">
                  <c:v>56</c:v>
                </c:pt>
                <c:pt idx="1">
                  <c:v>54</c:v>
                </c:pt>
                <c:pt idx="2">
                  <c:v>49</c:v>
                </c:pt>
                <c:pt idx="3">
                  <c:v>46</c:v>
                </c:pt>
                <c:pt idx="4">
                  <c:v>43</c:v>
                </c:pt>
                <c:pt idx="5">
                  <c:v>41</c:v>
                </c:pt>
                <c:pt idx="6">
                  <c:v>41</c:v>
                </c:pt>
                <c:pt idx="7">
                  <c:v>38</c:v>
                </c:pt>
                <c:pt idx="8">
                  <c:v>33</c:v>
                </c:pt>
                <c:pt idx="9">
                  <c:v>37</c:v>
                </c:pt>
                <c:pt idx="10">
                  <c:v>36</c:v>
                </c:pt>
                <c:pt idx="11">
                  <c:v>36</c:v>
                </c:pt>
                <c:pt idx="12">
                  <c:v>32</c:v>
                </c:pt>
                <c:pt idx="13">
                  <c:v>26</c:v>
                </c:pt>
                <c:pt idx="14">
                  <c:v>17</c:v>
                </c:pt>
                <c:pt idx="15">
                  <c:v>17</c:v>
                </c:pt>
                <c:pt idx="16">
                  <c:v>14</c:v>
                </c:pt>
                <c:pt idx="17">
                  <c:v>11</c:v>
                </c:pt>
                <c:pt idx="18">
                  <c:v>8</c:v>
                </c:pt>
                <c:pt idx="19">
                  <c:v>8</c:v>
                </c:pt>
                <c:pt idx="20">
                  <c:v>8</c:v>
                </c:pt>
                <c:pt idx="21">
                  <c:v>8</c:v>
                </c:pt>
                <c:pt idx="22">
                  <c:v>8</c:v>
                </c:pt>
                <c:pt idx="23">
                  <c:v>6</c:v>
                </c:pt>
                <c:pt idx="24">
                  <c:v>6</c:v>
                </c:pt>
                <c:pt idx="25">
                  <c:v>1</c:v>
                </c:pt>
                <c:pt idx="26">
                  <c:v>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499-4CF3-8580-5FA5A5B012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NittyGrittySheet!$A$46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NittyGrittySheet!$B$43:$AL$43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NittyGrittySheet!$B$46:$AL$46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9499-4CF3-8580-5FA5A5B0126C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NittyGrittySheet!$A$48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NittyGrittySheet!$B$43:$AL$43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NittyGrittySheet!$B$48:$AL$48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7</c:v>
                      </c:pt>
                      <c:pt idx="1">
                        <c:v>8</c:v>
                      </c:pt>
                      <c:pt idx="2">
                        <c:v>8</c:v>
                      </c:pt>
                      <c:pt idx="3">
                        <c:v>9</c:v>
                      </c:pt>
                      <c:pt idx="4">
                        <c:v>9</c:v>
                      </c:pt>
                      <c:pt idx="5">
                        <c:v>9</c:v>
                      </c:pt>
                      <c:pt idx="6">
                        <c:v>9</c:v>
                      </c:pt>
                      <c:pt idx="7">
                        <c:v>9</c:v>
                      </c:pt>
                      <c:pt idx="8">
                        <c:v>9</c:v>
                      </c:pt>
                      <c:pt idx="9">
                        <c:v>11</c:v>
                      </c:pt>
                      <c:pt idx="10">
                        <c:v>11</c:v>
                      </c:pt>
                      <c:pt idx="11">
                        <c:v>11</c:v>
                      </c:pt>
                      <c:pt idx="12">
                        <c:v>13</c:v>
                      </c:pt>
                      <c:pt idx="13">
                        <c:v>13</c:v>
                      </c:pt>
                      <c:pt idx="14">
                        <c:v>18</c:v>
                      </c:pt>
                      <c:pt idx="15">
                        <c:v>18</c:v>
                      </c:pt>
                      <c:pt idx="16">
                        <c:v>18</c:v>
                      </c:pt>
                      <c:pt idx="17">
                        <c:v>18</c:v>
                      </c:pt>
                      <c:pt idx="18">
                        <c:v>21</c:v>
                      </c:pt>
                      <c:pt idx="19">
                        <c:v>23</c:v>
                      </c:pt>
                      <c:pt idx="20">
                        <c:v>23</c:v>
                      </c:pt>
                      <c:pt idx="21">
                        <c:v>23</c:v>
                      </c:pt>
                      <c:pt idx="22">
                        <c:v>23</c:v>
                      </c:pt>
                      <c:pt idx="23">
                        <c:v>23</c:v>
                      </c:pt>
                      <c:pt idx="24">
                        <c:v>25</c:v>
                      </c:pt>
                      <c:pt idx="25">
                        <c:v>25</c:v>
                      </c:pt>
                      <c:pt idx="26">
                        <c:v>25</c:v>
                      </c:pt>
                      <c:pt idx="27">
                        <c:v>27</c:v>
                      </c:pt>
                      <c:pt idx="28">
                        <c:v>27</c:v>
                      </c:pt>
                      <c:pt idx="29">
                        <c:v>27</c:v>
                      </c:pt>
                      <c:pt idx="30">
                        <c:v>26</c:v>
                      </c:pt>
                      <c:pt idx="31">
                        <c:v>25</c:v>
                      </c:pt>
                      <c:pt idx="32">
                        <c:v>25</c:v>
                      </c:pt>
                      <c:pt idx="33">
                        <c:v>25</c:v>
                      </c:pt>
                      <c:pt idx="34">
                        <c:v>25</c:v>
                      </c:pt>
                      <c:pt idx="35">
                        <c:v>25</c:v>
                      </c:pt>
                      <c:pt idx="36">
                        <c:v>25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499-4CF3-8580-5FA5A5B0126C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NittyGrittySheet!$A$49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NittyGrittySheet!$B$43:$AL$43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NittyGrittySheet!$B$49:$AL$49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2</c:v>
                      </c:pt>
                      <c:pt idx="6">
                        <c:v>2</c:v>
                      </c:pt>
                      <c:pt idx="7">
                        <c:v>2</c:v>
                      </c:pt>
                      <c:pt idx="8">
                        <c:v>2</c:v>
                      </c:pt>
                      <c:pt idx="9">
                        <c:v>2</c:v>
                      </c:pt>
                      <c:pt idx="10">
                        <c:v>2</c:v>
                      </c:pt>
                      <c:pt idx="11">
                        <c:v>2</c:v>
                      </c:pt>
                      <c:pt idx="12">
                        <c:v>2</c:v>
                      </c:pt>
                      <c:pt idx="13">
                        <c:v>2</c:v>
                      </c:pt>
                      <c:pt idx="14">
                        <c:v>2</c:v>
                      </c:pt>
                      <c:pt idx="15">
                        <c:v>3</c:v>
                      </c:pt>
                      <c:pt idx="16">
                        <c:v>3</c:v>
                      </c:pt>
                      <c:pt idx="17">
                        <c:v>3</c:v>
                      </c:pt>
                      <c:pt idx="18">
                        <c:v>3</c:v>
                      </c:pt>
                      <c:pt idx="19">
                        <c:v>3</c:v>
                      </c:pt>
                      <c:pt idx="20">
                        <c:v>3</c:v>
                      </c:pt>
                      <c:pt idx="21">
                        <c:v>3</c:v>
                      </c:pt>
                      <c:pt idx="22">
                        <c:v>3</c:v>
                      </c:pt>
                      <c:pt idx="23">
                        <c:v>3</c:v>
                      </c:pt>
                      <c:pt idx="24">
                        <c:v>3</c:v>
                      </c:pt>
                      <c:pt idx="25">
                        <c:v>3</c:v>
                      </c:pt>
                      <c:pt idx="26">
                        <c:v>3</c:v>
                      </c:pt>
                      <c:pt idx="27">
                        <c:v>3</c:v>
                      </c:pt>
                      <c:pt idx="28">
                        <c:v>3</c:v>
                      </c:pt>
                      <c:pt idx="29">
                        <c:v>3</c:v>
                      </c:pt>
                      <c:pt idx="30">
                        <c:v>3</c:v>
                      </c:pt>
                      <c:pt idx="31">
                        <c:v>3</c:v>
                      </c:pt>
                      <c:pt idx="32">
                        <c:v>3</c:v>
                      </c:pt>
                      <c:pt idx="33">
                        <c:v>3</c:v>
                      </c:pt>
                      <c:pt idx="34">
                        <c:v>3</c:v>
                      </c:pt>
                      <c:pt idx="35">
                        <c:v>3</c:v>
                      </c:pt>
                      <c:pt idx="36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499-4CF3-8580-5FA5A5B0126C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NittyGrittySheet!$A$50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NittyGrittySheet!$B$43:$AL$43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NittyGrittySheet!$B$50:$AL$50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3</c:v>
                      </c:pt>
                      <c:pt idx="5">
                        <c:v>2</c:v>
                      </c:pt>
                      <c:pt idx="6">
                        <c:v>2</c:v>
                      </c:pt>
                      <c:pt idx="7">
                        <c:v>2</c:v>
                      </c:pt>
                      <c:pt idx="8">
                        <c:v>2</c:v>
                      </c:pt>
                      <c:pt idx="9">
                        <c:v>2</c:v>
                      </c:pt>
                      <c:pt idx="10">
                        <c:v>2</c:v>
                      </c:pt>
                      <c:pt idx="11">
                        <c:v>2</c:v>
                      </c:pt>
                      <c:pt idx="12">
                        <c:v>2</c:v>
                      </c:pt>
                      <c:pt idx="13">
                        <c:v>2</c:v>
                      </c:pt>
                      <c:pt idx="14">
                        <c:v>2</c:v>
                      </c:pt>
                      <c:pt idx="15">
                        <c:v>2</c:v>
                      </c:pt>
                      <c:pt idx="16">
                        <c:v>2</c:v>
                      </c:pt>
                      <c:pt idx="17">
                        <c:v>2</c:v>
                      </c:pt>
                      <c:pt idx="18">
                        <c:v>2</c:v>
                      </c:pt>
                      <c:pt idx="19">
                        <c:v>2</c:v>
                      </c:pt>
                      <c:pt idx="20">
                        <c:v>2</c:v>
                      </c:pt>
                      <c:pt idx="21">
                        <c:v>2</c:v>
                      </c:pt>
                      <c:pt idx="22">
                        <c:v>2</c:v>
                      </c:pt>
                      <c:pt idx="23">
                        <c:v>2</c:v>
                      </c:pt>
                      <c:pt idx="24">
                        <c:v>2</c:v>
                      </c:pt>
                      <c:pt idx="25">
                        <c:v>2</c:v>
                      </c:pt>
                      <c:pt idx="26">
                        <c:v>13</c:v>
                      </c:pt>
                      <c:pt idx="27">
                        <c:v>15</c:v>
                      </c:pt>
                      <c:pt idx="28">
                        <c:v>16</c:v>
                      </c:pt>
                      <c:pt idx="29">
                        <c:v>18</c:v>
                      </c:pt>
                      <c:pt idx="30">
                        <c:v>18</c:v>
                      </c:pt>
                      <c:pt idx="31">
                        <c:v>18</c:v>
                      </c:pt>
                      <c:pt idx="32">
                        <c:v>18</c:v>
                      </c:pt>
                      <c:pt idx="33">
                        <c:v>19</c:v>
                      </c:pt>
                      <c:pt idx="34">
                        <c:v>18</c:v>
                      </c:pt>
                      <c:pt idx="35">
                        <c:v>16</c:v>
                      </c:pt>
                      <c:pt idx="36">
                        <c:v>16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9499-4CF3-8580-5FA5A5B0126C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NittyGrittySheet!$A$51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NittyGrittySheet!$B$43:$AL$43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NittyGrittySheet!$B$51:$AL$51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2</c:v>
                      </c:pt>
                      <c:pt idx="24">
                        <c:v>2</c:v>
                      </c:pt>
                      <c:pt idx="25">
                        <c:v>3</c:v>
                      </c:pt>
                      <c:pt idx="26">
                        <c:v>3</c:v>
                      </c:pt>
                      <c:pt idx="27">
                        <c:v>3</c:v>
                      </c:pt>
                      <c:pt idx="28">
                        <c:v>3</c:v>
                      </c:pt>
                      <c:pt idx="29">
                        <c:v>3</c:v>
                      </c:pt>
                      <c:pt idx="30">
                        <c:v>3</c:v>
                      </c:pt>
                      <c:pt idx="31">
                        <c:v>3</c:v>
                      </c:pt>
                      <c:pt idx="32">
                        <c:v>3</c:v>
                      </c:pt>
                      <c:pt idx="33">
                        <c:v>3</c:v>
                      </c:pt>
                      <c:pt idx="34">
                        <c:v>3</c:v>
                      </c:pt>
                      <c:pt idx="35">
                        <c:v>3</c:v>
                      </c:pt>
                      <c:pt idx="36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9499-4CF3-8580-5FA5A5B0126C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NittyGrittySheet!$A$52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NittyGrittySheet!$B$43:$AL$43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NittyGrittySheet!$B$52:$AL$52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9499-4CF3-8580-5FA5A5B0126C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NittyGrittySheet!$A$53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NittyGrittySheet!$B$43:$AL$43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NittyGrittySheet!$B$53:$AL$53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1</c:v>
                      </c:pt>
                      <c:pt idx="24">
                        <c:v>2</c:v>
                      </c:pt>
                      <c:pt idx="25">
                        <c:v>3</c:v>
                      </c:pt>
                      <c:pt idx="26">
                        <c:v>2</c:v>
                      </c:pt>
                      <c:pt idx="27">
                        <c:v>2</c:v>
                      </c:pt>
                      <c:pt idx="28">
                        <c:v>2</c:v>
                      </c:pt>
                      <c:pt idx="29">
                        <c:v>2</c:v>
                      </c:pt>
                      <c:pt idx="30">
                        <c:v>2</c:v>
                      </c:pt>
                      <c:pt idx="31">
                        <c:v>2</c:v>
                      </c:pt>
                      <c:pt idx="32">
                        <c:v>2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9499-4CF3-8580-5FA5A5B0126C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NittyGrittySheet!$A$54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NittyGrittySheet!$B$43:$AL$43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NittyGrittySheet!$B$54:$AL$54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123</c:v>
                      </c:pt>
                      <c:pt idx="1">
                        <c:v>123</c:v>
                      </c:pt>
                      <c:pt idx="2">
                        <c:v>122</c:v>
                      </c:pt>
                      <c:pt idx="3">
                        <c:v>122</c:v>
                      </c:pt>
                      <c:pt idx="4">
                        <c:v>121</c:v>
                      </c:pt>
                      <c:pt idx="5">
                        <c:v>121</c:v>
                      </c:pt>
                      <c:pt idx="6">
                        <c:v>122</c:v>
                      </c:pt>
                      <c:pt idx="7">
                        <c:v>120</c:v>
                      </c:pt>
                      <c:pt idx="8">
                        <c:v>118</c:v>
                      </c:pt>
                      <c:pt idx="9">
                        <c:v>132</c:v>
                      </c:pt>
                      <c:pt idx="10">
                        <c:v>132</c:v>
                      </c:pt>
                      <c:pt idx="11">
                        <c:v>131</c:v>
                      </c:pt>
                      <c:pt idx="12">
                        <c:v>130</c:v>
                      </c:pt>
                      <c:pt idx="13">
                        <c:v>131</c:v>
                      </c:pt>
                      <c:pt idx="14">
                        <c:v>130</c:v>
                      </c:pt>
                      <c:pt idx="15">
                        <c:v>131</c:v>
                      </c:pt>
                      <c:pt idx="16">
                        <c:v>126</c:v>
                      </c:pt>
                      <c:pt idx="17">
                        <c:v>127</c:v>
                      </c:pt>
                      <c:pt idx="18">
                        <c:v>123</c:v>
                      </c:pt>
                      <c:pt idx="19">
                        <c:v>123</c:v>
                      </c:pt>
                      <c:pt idx="20">
                        <c:v>123</c:v>
                      </c:pt>
                      <c:pt idx="21">
                        <c:v>120</c:v>
                      </c:pt>
                      <c:pt idx="22">
                        <c:v>119</c:v>
                      </c:pt>
                      <c:pt idx="23">
                        <c:v>119</c:v>
                      </c:pt>
                      <c:pt idx="24">
                        <c:v>120</c:v>
                      </c:pt>
                      <c:pt idx="25">
                        <c:v>114</c:v>
                      </c:pt>
                      <c:pt idx="26">
                        <c:v>114</c:v>
                      </c:pt>
                      <c:pt idx="27">
                        <c:v>111</c:v>
                      </c:pt>
                      <c:pt idx="28">
                        <c:v>113</c:v>
                      </c:pt>
                      <c:pt idx="29">
                        <c:v>113</c:v>
                      </c:pt>
                      <c:pt idx="30">
                        <c:v>110</c:v>
                      </c:pt>
                      <c:pt idx="31">
                        <c:v>110</c:v>
                      </c:pt>
                      <c:pt idx="32">
                        <c:v>110</c:v>
                      </c:pt>
                      <c:pt idx="33">
                        <c:v>110</c:v>
                      </c:pt>
                      <c:pt idx="34">
                        <c:v>109</c:v>
                      </c:pt>
                      <c:pt idx="35">
                        <c:v>104</c:v>
                      </c:pt>
                      <c:pt idx="36">
                        <c:v>102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9499-4CF3-8580-5FA5A5B0126C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% Placed 5 Year Summary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BSEDM!$O$24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BSEDM!$M$25:$M$38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BSEDM!$O$25:$O$38</c:f>
              <c:numCache>
                <c:formatCode>0.00%</c:formatCode>
                <c:ptCount val="14"/>
                <c:pt idx="0">
                  <c:v>0.08</c:v>
                </c:pt>
                <c:pt idx="1">
                  <c:v>0.09</c:v>
                </c:pt>
                <c:pt idx="2">
                  <c:v>0.1</c:v>
                </c:pt>
                <c:pt idx="3">
                  <c:v>0.11</c:v>
                </c:pt>
                <c:pt idx="4">
                  <c:v>0.12</c:v>
                </c:pt>
                <c:pt idx="5">
                  <c:v>0.2</c:v>
                </c:pt>
                <c:pt idx="6">
                  <c:v>0.24</c:v>
                </c:pt>
                <c:pt idx="7">
                  <c:v>0.31</c:v>
                </c:pt>
                <c:pt idx="8">
                  <c:v>0.44</c:v>
                </c:pt>
                <c:pt idx="9">
                  <c:v>0.51</c:v>
                </c:pt>
                <c:pt idx="10">
                  <c:v>0.52</c:v>
                </c:pt>
                <c:pt idx="11">
                  <c:v>0.73</c:v>
                </c:pt>
                <c:pt idx="12">
                  <c:v>0.79</c:v>
                </c:pt>
                <c:pt idx="13">
                  <c:v>0.96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84-4B21-A880-05EC7CE2971D}"/>
            </c:ext>
          </c:extLst>
        </c:ser>
        <c:ser>
          <c:idx val="2"/>
          <c:order val="1"/>
          <c:tx>
            <c:strRef>
              <c:f>BSEDM!$P$24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BSEDM!$M$25:$M$38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BSEDM!$P$25:$P$38</c:f>
              <c:numCache>
                <c:formatCode>0.00%</c:formatCode>
                <c:ptCount val="14"/>
                <c:pt idx="0">
                  <c:v>6.25E-2</c:v>
                </c:pt>
                <c:pt idx="1">
                  <c:v>6.25E-2</c:v>
                </c:pt>
                <c:pt idx="2">
                  <c:v>6.25E-2</c:v>
                </c:pt>
                <c:pt idx="3">
                  <c:v>8.7499999999999994E-2</c:v>
                </c:pt>
                <c:pt idx="4">
                  <c:v>0.1125</c:v>
                </c:pt>
                <c:pt idx="5">
                  <c:v>0.25</c:v>
                </c:pt>
                <c:pt idx="6">
                  <c:v>0.28749999999999998</c:v>
                </c:pt>
                <c:pt idx="7">
                  <c:v>0.28749999999999998</c:v>
                </c:pt>
                <c:pt idx="8">
                  <c:v>0.65</c:v>
                </c:pt>
                <c:pt idx="9">
                  <c:v>0.6875</c:v>
                </c:pt>
                <c:pt idx="10">
                  <c:v>0.8</c:v>
                </c:pt>
                <c:pt idx="11">
                  <c:v>0.97499999999999998</c:v>
                </c:pt>
                <c:pt idx="12">
                  <c:v>0.97499999999999998</c:v>
                </c:pt>
                <c:pt idx="13">
                  <c:v>0.98750000000000004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0784-4B21-A880-05EC7CE2971D}"/>
            </c:ext>
          </c:extLst>
        </c:ser>
        <c:ser>
          <c:idx val="3"/>
          <c:order val="2"/>
          <c:tx>
            <c:strRef>
              <c:f>BSEDM!$Q$24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BSEDM!$M$25:$M$38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BSEDM!$Q$25:$Q$38</c:f>
              <c:numCache>
                <c:formatCode>0.00%</c:formatCode>
                <c:ptCount val="14"/>
                <c:pt idx="0">
                  <c:v>6.1728395061728392E-2</c:v>
                </c:pt>
                <c:pt idx="1">
                  <c:v>8.6419753086419748E-2</c:v>
                </c:pt>
                <c:pt idx="2">
                  <c:v>0.12345679012345678</c:v>
                </c:pt>
                <c:pt idx="3">
                  <c:v>0.16049382716049382</c:v>
                </c:pt>
                <c:pt idx="4">
                  <c:v>0.16049382716049382</c:v>
                </c:pt>
                <c:pt idx="5">
                  <c:v>0.1728395061728395</c:v>
                </c:pt>
                <c:pt idx="6">
                  <c:v>0.1728395061728395</c:v>
                </c:pt>
                <c:pt idx="7">
                  <c:v>0.27160493827160492</c:v>
                </c:pt>
                <c:pt idx="8">
                  <c:v>0.37037037037037035</c:v>
                </c:pt>
                <c:pt idx="9">
                  <c:v>0.4567901234567901</c:v>
                </c:pt>
                <c:pt idx="10">
                  <c:v>0.51851851851851849</c:v>
                </c:pt>
                <c:pt idx="11">
                  <c:v>0.75308641975308643</c:v>
                </c:pt>
                <c:pt idx="12">
                  <c:v>0.79012345679012341</c:v>
                </c:pt>
                <c:pt idx="13">
                  <c:v>0.8271604938271605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0784-4B21-A880-05EC7CE2971D}"/>
            </c:ext>
          </c:extLst>
        </c:ser>
        <c:ser>
          <c:idx val="4"/>
          <c:order val="3"/>
          <c:tx>
            <c:strRef>
              <c:f>BSEDM!$R$24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BSEDM!$M$25:$M$38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BSEDM!$R$25:$R$38</c:f>
              <c:numCache>
                <c:formatCode>0.00%</c:formatCode>
                <c:ptCount val="14"/>
                <c:pt idx="0">
                  <c:v>5.8823529411764705E-2</c:v>
                </c:pt>
                <c:pt idx="1">
                  <c:v>7.3529411764705885E-2</c:v>
                </c:pt>
                <c:pt idx="2">
                  <c:v>0.11764705882352941</c:v>
                </c:pt>
                <c:pt idx="3">
                  <c:v>0.13235294117647059</c:v>
                </c:pt>
                <c:pt idx="4">
                  <c:v>0.16176470588235295</c:v>
                </c:pt>
                <c:pt idx="5">
                  <c:v>0.19117647058823528</c:v>
                </c:pt>
                <c:pt idx="6">
                  <c:v>0.23529411764705882</c:v>
                </c:pt>
                <c:pt idx="7">
                  <c:v>0.3235294117647059</c:v>
                </c:pt>
                <c:pt idx="8">
                  <c:v>0.41176470588235292</c:v>
                </c:pt>
                <c:pt idx="9">
                  <c:v>0.52941176470588236</c:v>
                </c:pt>
                <c:pt idx="10">
                  <c:v>0.57352941176470584</c:v>
                </c:pt>
                <c:pt idx="11">
                  <c:v>0.8970588235294118</c:v>
                </c:pt>
                <c:pt idx="12">
                  <c:v>0.92647058823529416</c:v>
                </c:pt>
                <c:pt idx="13">
                  <c:v>0.95588235294117652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0784-4B21-A880-05EC7CE2971D}"/>
            </c:ext>
          </c:extLst>
        </c:ser>
        <c:ser>
          <c:idx val="5"/>
          <c:order val="4"/>
          <c:tx>
            <c:strRef>
              <c:f>BSEDM!$S$24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BSEDM!$M$25:$M$38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BSEDM!$S$25:$S$38</c:f>
              <c:numCache>
                <c:formatCode>0.00%</c:formatCode>
                <c:ptCount val="14"/>
                <c:pt idx="0">
                  <c:v>3.7499999999999999E-2</c:v>
                </c:pt>
                <c:pt idx="1">
                  <c:v>0.05</c:v>
                </c:pt>
                <c:pt idx="2">
                  <c:v>7.4999999999999997E-2</c:v>
                </c:pt>
                <c:pt idx="3">
                  <c:v>7.4999999999999997E-2</c:v>
                </c:pt>
                <c:pt idx="4">
                  <c:v>0.1125</c:v>
                </c:pt>
                <c:pt idx="5">
                  <c:v>0.1125</c:v>
                </c:pt>
                <c:pt idx="6">
                  <c:v>0.1125</c:v>
                </c:pt>
                <c:pt idx="7">
                  <c:v>0.25</c:v>
                </c:pt>
                <c:pt idx="8">
                  <c:v>0.46250000000000002</c:v>
                </c:pt>
                <c:pt idx="9">
                  <c:v>0.57499999999999996</c:v>
                </c:pt>
                <c:pt idx="10">
                  <c:v>0.7</c:v>
                </c:pt>
                <c:pt idx="11">
                  <c:v>0.82499999999999996</c:v>
                </c:pt>
                <c:pt idx="12">
                  <c:v>0.85</c:v>
                </c:pt>
                <c:pt idx="13">
                  <c:v>0.86250000000000004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0784-4B21-A880-05EC7CE2971D}"/>
            </c:ext>
          </c:extLst>
        </c:ser>
        <c:ser>
          <c:idx val="0"/>
          <c:order val="5"/>
          <c:tx>
            <c:strRef>
              <c:f>BSEDM!$N$24</c:f>
              <c:strCache>
                <c:ptCount val="1"/>
                <c:pt idx="0">
                  <c:v>2026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BSEDM!$M$25:$M$38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BSEDM!$N$25:$N$38</c:f>
              <c:numCache>
                <c:formatCode>0.00%</c:formatCode>
                <c:ptCount val="14"/>
                <c:pt idx="2">
                  <c:v>0.12790000000000001</c:v>
                </c:pt>
                <c:pt idx="3">
                  <c:v>0.13769999999999999</c:v>
                </c:pt>
                <c:pt idx="4">
                  <c:v>0.17680000000000001</c:v>
                </c:pt>
                <c:pt idx="5">
                  <c:v>0.18629999999999999</c:v>
                </c:pt>
                <c:pt idx="6">
                  <c:v>0.19109999999999999</c:v>
                </c:pt>
                <c:pt idx="7">
                  <c:v>0.30919999999999997</c:v>
                </c:pt>
                <c:pt idx="8">
                  <c:v>0.53280000000000005</c:v>
                </c:pt>
                <c:pt idx="9">
                  <c:v>0.67480000000000007</c:v>
                </c:pt>
                <c:pt idx="10">
                  <c:v>0.84209999999999996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784-4B21-A880-05EC7CE297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Placement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NittyGrittySheet!$A$58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NittyGrittySheet!$B$57:$AL$57</c:f>
              <c:strCache>
                <c:ptCount val="37"/>
                <c:pt idx="0">
                  <c:v>10/13/2025</c:v>
                </c:pt>
                <c:pt idx="1">
                  <c:v>10/17/2025</c:v>
                </c:pt>
                <c:pt idx="2">
                  <c:v>10/24/2025</c:v>
                </c:pt>
                <c:pt idx="3">
                  <c:v>10/31/2025</c:v>
                </c:pt>
                <c:pt idx="4">
                  <c:v>11/7/2025</c:v>
                </c:pt>
                <c:pt idx="5">
                  <c:v>11/14/2025</c:v>
                </c:pt>
                <c:pt idx="6">
                  <c:v>11/21/2025</c:v>
                </c:pt>
                <c:pt idx="7">
                  <c:v>11/28/2025</c:v>
                </c:pt>
                <c:pt idx="8">
                  <c:v>12/5/2025</c:v>
                </c:pt>
                <c:pt idx="9">
                  <c:v>12/12/2025</c:v>
                </c:pt>
                <c:pt idx="10">
                  <c:v>12/19/2025</c:v>
                </c:pt>
                <c:pt idx="11">
                  <c:v>12/26/2025</c:v>
                </c:pt>
                <c:pt idx="12">
                  <c:v>1/2/2026</c:v>
                </c:pt>
                <c:pt idx="13">
                  <c:v>1/9/2026</c:v>
                </c:pt>
                <c:pt idx="14">
                  <c:v>1/16/2026</c:v>
                </c:pt>
                <c:pt idx="15">
                  <c:v>1/23/2026</c:v>
                </c:pt>
                <c:pt idx="16">
                  <c:v>1/30/2026</c:v>
                </c:pt>
                <c:pt idx="17">
                  <c:v>2/6/2026</c:v>
                </c:pt>
                <c:pt idx="18">
                  <c:v>2/13/2026</c:v>
                </c:pt>
                <c:pt idx="19">
                  <c:v>2/20/2026</c:v>
                </c:pt>
                <c:pt idx="20">
                  <c:v>2/27/2026</c:v>
                </c:pt>
                <c:pt idx="21">
                  <c:v>3/13/2026</c:v>
                </c:pt>
                <c:pt idx="22">
                  <c:v>3/20/2026</c:v>
                </c:pt>
                <c:pt idx="23">
                  <c:v>3/27/2026</c:v>
                </c:pt>
                <c:pt idx="24">
                  <c:v>4/3/2026</c:v>
                </c:pt>
                <c:pt idx="25">
                  <c:v>4/10/2026</c:v>
                </c:pt>
                <c:pt idx="26">
                  <c:v>4/17/2026</c:v>
                </c:pt>
                <c:pt idx="27">
                  <c:v>4/24/2026</c:v>
                </c:pt>
                <c:pt idx="28">
                  <c:v>5/1/2026</c:v>
                </c:pt>
                <c:pt idx="29">
                  <c:v>5/8/2026</c:v>
                </c:pt>
                <c:pt idx="30">
                  <c:v>5/15/2026</c:v>
                </c:pt>
                <c:pt idx="31">
                  <c:v>5/22/2026</c:v>
                </c:pt>
                <c:pt idx="32">
                  <c:v>05/29/2026</c:v>
                </c:pt>
                <c:pt idx="33">
                  <c:v>6/5/2026</c:v>
                </c:pt>
                <c:pt idx="34">
                  <c:v>6/12/2026</c:v>
                </c:pt>
                <c:pt idx="35">
                  <c:v>6/19/2026</c:v>
                </c:pt>
                <c:pt idx="36">
                  <c:v>6/26/2026</c:v>
                </c:pt>
              </c:strCache>
            </c:strRef>
          </c:cat>
          <c:val>
            <c:numRef>
              <c:f>NittyGrittySheet!$B$58:$AL$58</c:f>
              <c:numCache>
                <c:formatCode>0.00%</c:formatCode>
                <c:ptCount val="37"/>
                <c:pt idx="0">
                  <c:v>0.1111</c:v>
                </c:pt>
                <c:pt idx="1">
                  <c:v>0.11700000000000001</c:v>
                </c:pt>
                <c:pt idx="2">
                  <c:v>0.12280000000000001</c:v>
                </c:pt>
                <c:pt idx="3">
                  <c:v>0.12790000000000001</c:v>
                </c:pt>
                <c:pt idx="4">
                  <c:v>0.1462</c:v>
                </c:pt>
                <c:pt idx="5">
                  <c:v>0.13769999999999999</c:v>
                </c:pt>
                <c:pt idx="6">
                  <c:v>0.13769999999999999</c:v>
                </c:pt>
                <c:pt idx="7">
                  <c:v>0.13769999999999999</c:v>
                </c:pt>
                <c:pt idx="8">
                  <c:v>0.17469999999999999</c:v>
                </c:pt>
                <c:pt idx="9">
                  <c:v>0.17580000000000001</c:v>
                </c:pt>
                <c:pt idx="10">
                  <c:v>0.17680000000000001</c:v>
                </c:pt>
                <c:pt idx="11">
                  <c:v>0.17680000000000001</c:v>
                </c:pt>
                <c:pt idx="12">
                  <c:v>0.189</c:v>
                </c:pt>
                <c:pt idx="13">
                  <c:v>0.19020000000000001</c:v>
                </c:pt>
                <c:pt idx="14">
                  <c:v>0.189</c:v>
                </c:pt>
                <c:pt idx="15">
                  <c:v>0.19020000000000001</c:v>
                </c:pt>
                <c:pt idx="16">
                  <c:v>0.18629999999999999</c:v>
                </c:pt>
                <c:pt idx="17">
                  <c:v>0.1835</c:v>
                </c:pt>
                <c:pt idx="18">
                  <c:v>0.19350000000000001</c:v>
                </c:pt>
                <c:pt idx="19">
                  <c:v>0.17419999999999999</c:v>
                </c:pt>
                <c:pt idx="20">
                  <c:v>0.19109999999999999</c:v>
                </c:pt>
                <c:pt idx="21">
                  <c:v>0.2278</c:v>
                </c:pt>
                <c:pt idx="22">
                  <c:v>0.27100000000000002</c:v>
                </c:pt>
                <c:pt idx="23">
                  <c:v>0.27450000000000002</c:v>
                </c:pt>
                <c:pt idx="24">
                  <c:v>0.32</c:v>
                </c:pt>
                <c:pt idx="25">
                  <c:v>0.39040000000000002</c:v>
                </c:pt>
                <c:pt idx="26">
                  <c:v>0.5071</c:v>
                </c:pt>
                <c:pt idx="27">
                  <c:v>0.50719999999999998</c:v>
                </c:pt>
                <c:pt idx="28">
                  <c:v>0.53280000000000005</c:v>
                </c:pt>
                <c:pt idx="29">
                  <c:v>0.56299999999999994</c:v>
                </c:pt>
                <c:pt idx="30">
                  <c:v>0.63490000000000002</c:v>
                </c:pt>
                <c:pt idx="31">
                  <c:v>0.68</c:v>
                </c:pt>
                <c:pt idx="32">
                  <c:v>0.67480000000000007</c:v>
                </c:pt>
                <c:pt idx="33">
                  <c:v>0.74790000000000001</c:v>
                </c:pt>
                <c:pt idx="34">
                  <c:v>0.81510000000000005</c:v>
                </c:pt>
                <c:pt idx="35">
                  <c:v>0.8276</c:v>
                </c:pt>
                <c:pt idx="36">
                  <c:v>0.84209999999999996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F4-43DC-AF72-89365CBE91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Search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NittyGrittySheet!$A$61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NittyGrittySheet!$B$60:$AL$60</c:f>
              <c:strCache>
                <c:ptCount val="37"/>
                <c:pt idx="0">
                  <c:v>10/13/2025</c:v>
                </c:pt>
                <c:pt idx="1">
                  <c:v>10/17/2025</c:v>
                </c:pt>
                <c:pt idx="2">
                  <c:v>10/24/2025</c:v>
                </c:pt>
                <c:pt idx="3">
                  <c:v>10/31/2025</c:v>
                </c:pt>
                <c:pt idx="4">
                  <c:v>11/7/2025</c:v>
                </c:pt>
                <c:pt idx="5">
                  <c:v>11/14/2025</c:v>
                </c:pt>
                <c:pt idx="6">
                  <c:v>11/21/2025</c:v>
                </c:pt>
                <c:pt idx="7">
                  <c:v>11/28/2025</c:v>
                </c:pt>
                <c:pt idx="8">
                  <c:v>12/5/2025</c:v>
                </c:pt>
                <c:pt idx="9">
                  <c:v>12/12/2025</c:v>
                </c:pt>
                <c:pt idx="10">
                  <c:v>12/19/2025</c:v>
                </c:pt>
                <c:pt idx="11">
                  <c:v>12/26/2025</c:v>
                </c:pt>
                <c:pt idx="12">
                  <c:v>1/2/2026</c:v>
                </c:pt>
                <c:pt idx="13">
                  <c:v>1/9/2026</c:v>
                </c:pt>
                <c:pt idx="14">
                  <c:v>1/16/2026</c:v>
                </c:pt>
                <c:pt idx="15">
                  <c:v>1/23/2026</c:v>
                </c:pt>
                <c:pt idx="16">
                  <c:v>1/30/2026</c:v>
                </c:pt>
                <c:pt idx="17">
                  <c:v>2/6/2026</c:v>
                </c:pt>
                <c:pt idx="18">
                  <c:v>2/13/2026</c:v>
                </c:pt>
                <c:pt idx="19">
                  <c:v>2/20/2026</c:v>
                </c:pt>
                <c:pt idx="20">
                  <c:v>2/27/2026</c:v>
                </c:pt>
                <c:pt idx="21">
                  <c:v>3/13/2026</c:v>
                </c:pt>
                <c:pt idx="22">
                  <c:v>3/20/2026</c:v>
                </c:pt>
                <c:pt idx="23">
                  <c:v>3/27/2026</c:v>
                </c:pt>
                <c:pt idx="24">
                  <c:v>4/3/2026</c:v>
                </c:pt>
                <c:pt idx="25">
                  <c:v>4/10/2026</c:v>
                </c:pt>
                <c:pt idx="26">
                  <c:v>4/17/2026</c:v>
                </c:pt>
                <c:pt idx="27">
                  <c:v>4/24/2026</c:v>
                </c:pt>
                <c:pt idx="28">
                  <c:v>5/1/2026</c:v>
                </c:pt>
                <c:pt idx="29">
                  <c:v>5/8/2026</c:v>
                </c:pt>
                <c:pt idx="30">
                  <c:v>5/15/2026</c:v>
                </c:pt>
                <c:pt idx="31">
                  <c:v>5/22/2026</c:v>
                </c:pt>
                <c:pt idx="32">
                  <c:v>05/29/2026</c:v>
                </c:pt>
                <c:pt idx="33">
                  <c:v>6/5/2026</c:v>
                </c:pt>
                <c:pt idx="34">
                  <c:v>6/12/2026</c:v>
                </c:pt>
                <c:pt idx="35">
                  <c:v>6/19/2026</c:v>
                </c:pt>
                <c:pt idx="36">
                  <c:v>6/26/2026</c:v>
                </c:pt>
              </c:strCache>
            </c:strRef>
          </c:cat>
          <c:val>
            <c:numRef>
              <c:f>NittyGrittySheet!$B$61:$AL$61</c:f>
              <c:numCache>
                <c:formatCode>General</c:formatCode>
                <c:ptCount val="37"/>
                <c:pt idx="0">
                  <c:v>19</c:v>
                </c:pt>
                <c:pt idx="1">
                  <c:v>20</c:v>
                </c:pt>
                <c:pt idx="2">
                  <c:v>21</c:v>
                </c:pt>
                <c:pt idx="3">
                  <c:v>22</c:v>
                </c:pt>
                <c:pt idx="4">
                  <c:v>25</c:v>
                </c:pt>
                <c:pt idx="5">
                  <c:v>23</c:v>
                </c:pt>
                <c:pt idx="6">
                  <c:v>23</c:v>
                </c:pt>
                <c:pt idx="7">
                  <c:v>23</c:v>
                </c:pt>
                <c:pt idx="8">
                  <c:v>29</c:v>
                </c:pt>
                <c:pt idx="9">
                  <c:v>29</c:v>
                </c:pt>
                <c:pt idx="10">
                  <c:v>29</c:v>
                </c:pt>
                <c:pt idx="11">
                  <c:v>29</c:v>
                </c:pt>
                <c:pt idx="12">
                  <c:v>31</c:v>
                </c:pt>
                <c:pt idx="13">
                  <c:v>31</c:v>
                </c:pt>
                <c:pt idx="14">
                  <c:v>31</c:v>
                </c:pt>
                <c:pt idx="15">
                  <c:v>31</c:v>
                </c:pt>
                <c:pt idx="16">
                  <c:v>30</c:v>
                </c:pt>
                <c:pt idx="17">
                  <c:v>29</c:v>
                </c:pt>
                <c:pt idx="18">
                  <c:v>30</c:v>
                </c:pt>
                <c:pt idx="19">
                  <c:v>27</c:v>
                </c:pt>
                <c:pt idx="20">
                  <c:v>30</c:v>
                </c:pt>
                <c:pt idx="21">
                  <c:v>36</c:v>
                </c:pt>
                <c:pt idx="22">
                  <c:v>42</c:v>
                </c:pt>
                <c:pt idx="23">
                  <c:v>42</c:v>
                </c:pt>
                <c:pt idx="24">
                  <c:v>48</c:v>
                </c:pt>
                <c:pt idx="25">
                  <c:v>57</c:v>
                </c:pt>
                <c:pt idx="26">
                  <c:v>71</c:v>
                </c:pt>
                <c:pt idx="27">
                  <c:v>70</c:v>
                </c:pt>
                <c:pt idx="28">
                  <c:v>73</c:v>
                </c:pt>
                <c:pt idx="29">
                  <c:v>76</c:v>
                </c:pt>
                <c:pt idx="30">
                  <c:v>80</c:v>
                </c:pt>
                <c:pt idx="31">
                  <c:v>85</c:v>
                </c:pt>
                <c:pt idx="32">
                  <c:v>83</c:v>
                </c:pt>
                <c:pt idx="33">
                  <c:v>89</c:v>
                </c:pt>
                <c:pt idx="34">
                  <c:v>97</c:v>
                </c:pt>
                <c:pt idx="35">
                  <c:v>96</c:v>
                </c:pt>
                <c:pt idx="36">
                  <c:v>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EC-466E-BDDE-4B41CA05E52C}"/>
            </c:ext>
          </c:extLst>
        </c:ser>
        <c:ser>
          <c:idx val="1"/>
          <c:order val="1"/>
          <c:tx>
            <c:strRef>
              <c:f>NittyGrittySheet!$A$62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NittyGrittySheet!$B$60:$AL$60</c:f>
              <c:strCache>
                <c:ptCount val="37"/>
                <c:pt idx="0">
                  <c:v>10/13/2025</c:v>
                </c:pt>
                <c:pt idx="1">
                  <c:v>10/17/2025</c:v>
                </c:pt>
                <c:pt idx="2">
                  <c:v>10/24/2025</c:v>
                </c:pt>
                <c:pt idx="3">
                  <c:v>10/31/2025</c:v>
                </c:pt>
                <c:pt idx="4">
                  <c:v>11/7/2025</c:v>
                </c:pt>
                <c:pt idx="5">
                  <c:v>11/14/2025</c:v>
                </c:pt>
                <c:pt idx="6">
                  <c:v>11/21/2025</c:v>
                </c:pt>
                <c:pt idx="7">
                  <c:v>11/28/2025</c:v>
                </c:pt>
                <c:pt idx="8">
                  <c:v>12/5/2025</c:v>
                </c:pt>
                <c:pt idx="9">
                  <c:v>12/12/2025</c:v>
                </c:pt>
                <c:pt idx="10">
                  <c:v>12/19/2025</c:v>
                </c:pt>
                <c:pt idx="11">
                  <c:v>12/26/2025</c:v>
                </c:pt>
                <c:pt idx="12">
                  <c:v>1/2/2026</c:v>
                </c:pt>
                <c:pt idx="13">
                  <c:v>1/9/2026</c:v>
                </c:pt>
                <c:pt idx="14">
                  <c:v>1/16/2026</c:v>
                </c:pt>
                <c:pt idx="15">
                  <c:v>1/23/2026</c:v>
                </c:pt>
                <c:pt idx="16">
                  <c:v>1/30/2026</c:v>
                </c:pt>
                <c:pt idx="17">
                  <c:v>2/6/2026</c:v>
                </c:pt>
                <c:pt idx="18">
                  <c:v>2/13/2026</c:v>
                </c:pt>
                <c:pt idx="19">
                  <c:v>2/20/2026</c:v>
                </c:pt>
                <c:pt idx="20">
                  <c:v>2/27/2026</c:v>
                </c:pt>
                <c:pt idx="21">
                  <c:v>3/13/2026</c:v>
                </c:pt>
                <c:pt idx="22">
                  <c:v>3/20/2026</c:v>
                </c:pt>
                <c:pt idx="23">
                  <c:v>3/27/2026</c:v>
                </c:pt>
                <c:pt idx="24">
                  <c:v>4/3/2026</c:v>
                </c:pt>
                <c:pt idx="25">
                  <c:v>4/10/2026</c:v>
                </c:pt>
                <c:pt idx="26">
                  <c:v>4/17/2026</c:v>
                </c:pt>
                <c:pt idx="27">
                  <c:v>4/24/2026</c:v>
                </c:pt>
                <c:pt idx="28">
                  <c:v>5/1/2026</c:v>
                </c:pt>
                <c:pt idx="29">
                  <c:v>5/8/2026</c:v>
                </c:pt>
                <c:pt idx="30">
                  <c:v>5/15/2026</c:v>
                </c:pt>
                <c:pt idx="31">
                  <c:v>5/22/2026</c:v>
                </c:pt>
                <c:pt idx="32">
                  <c:v>05/29/2026</c:v>
                </c:pt>
                <c:pt idx="33">
                  <c:v>6/5/2026</c:v>
                </c:pt>
                <c:pt idx="34">
                  <c:v>6/12/2026</c:v>
                </c:pt>
                <c:pt idx="35">
                  <c:v>6/19/2026</c:v>
                </c:pt>
                <c:pt idx="36">
                  <c:v>6/26/2026</c:v>
                </c:pt>
              </c:strCache>
            </c:strRef>
          </c:cat>
          <c:val>
            <c:numRef>
              <c:f>NittyGrittySheet!$B$62:$AL$62</c:f>
              <c:numCache>
                <c:formatCode>General</c:formatCode>
                <c:ptCount val="37"/>
                <c:pt idx="0">
                  <c:v>23</c:v>
                </c:pt>
                <c:pt idx="1">
                  <c:v>23</c:v>
                </c:pt>
                <c:pt idx="2">
                  <c:v>25</c:v>
                </c:pt>
                <c:pt idx="3">
                  <c:v>26</c:v>
                </c:pt>
                <c:pt idx="4">
                  <c:v>31</c:v>
                </c:pt>
                <c:pt idx="5">
                  <c:v>49</c:v>
                </c:pt>
                <c:pt idx="6">
                  <c:v>53</c:v>
                </c:pt>
                <c:pt idx="7">
                  <c:v>53</c:v>
                </c:pt>
                <c:pt idx="8">
                  <c:v>57</c:v>
                </c:pt>
                <c:pt idx="9">
                  <c:v>59</c:v>
                </c:pt>
                <c:pt idx="10">
                  <c:v>60</c:v>
                </c:pt>
                <c:pt idx="11">
                  <c:v>61</c:v>
                </c:pt>
                <c:pt idx="12">
                  <c:v>61</c:v>
                </c:pt>
                <c:pt idx="13">
                  <c:v>67</c:v>
                </c:pt>
                <c:pt idx="14">
                  <c:v>71</c:v>
                </c:pt>
                <c:pt idx="15">
                  <c:v>71</c:v>
                </c:pt>
                <c:pt idx="16">
                  <c:v>73</c:v>
                </c:pt>
                <c:pt idx="17">
                  <c:v>77</c:v>
                </c:pt>
                <c:pt idx="18">
                  <c:v>77</c:v>
                </c:pt>
                <c:pt idx="19">
                  <c:v>79</c:v>
                </c:pt>
                <c:pt idx="20">
                  <c:v>80</c:v>
                </c:pt>
                <c:pt idx="21">
                  <c:v>77</c:v>
                </c:pt>
                <c:pt idx="22">
                  <c:v>74</c:v>
                </c:pt>
                <c:pt idx="23">
                  <c:v>75</c:v>
                </c:pt>
                <c:pt idx="24">
                  <c:v>70</c:v>
                </c:pt>
                <c:pt idx="25">
                  <c:v>63</c:v>
                </c:pt>
                <c:pt idx="26">
                  <c:v>53</c:v>
                </c:pt>
                <c:pt idx="27">
                  <c:v>51</c:v>
                </c:pt>
                <c:pt idx="28">
                  <c:v>47</c:v>
                </c:pt>
                <c:pt idx="29">
                  <c:v>43</c:v>
                </c:pt>
                <c:pt idx="30">
                  <c:v>37</c:v>
                </c:pt>
                <c:pt idx="31">
                  <c:v>32</c:v>
                </c:pt>
                <c:pt idx="32">
                  <c:v>32</c:v>
                </c:pt>
                <c:pt idx="33">
                  <c:v>22</c:v>
                </c:pt>
                <c:pt idx="34">
                  <c:v>16</c:v>
                </c:pt>
                <c:pt idx="35">
                  <c:v>18</c:v>
                </c:pt>
                <c:pt idx="36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EC-466E-BDDE-4B41CA05E52C}"/>
            </c:ext>
          </c:extLst>
        </c:ser>
        <c:ser>
          <c:idx val="3"/>
          <c:order val="3"/>
          <c:tx>
            <c:strRef>
              <c:f>NittyGrittySheet!$A$64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NittyGrittySheet!$B$60:$AL$60</c:f>
              <c:strCache>
                <c:ptCount val="37"/>
                <c:pt idx="0">
                  <c:v>10/13/2025</c:v>
                </c:pt>
                <c:pt idx="1">
                  <c:v>10/17/2025</c:v>
                </c:pt>
                <c:pt idx="2">
                  <c:v>10/24/2025</c:v>
                </c:pt>
                <c:pt idx="3">
                  <c:v>10/31/2025</c:v>
                </c:pt>
                <c:pt idx="4">
                  <c:v>11/7/2025</c:v>
                </c:pt>
                <c:pt idx="5">
                  <c:v>11/14/2025</c:v>
                </c:pt>
                <c:pt idx="6">
                  <c:v>11/21/2025</c:v>
                </c:pt>
                <c:pt idx="7">
                  <c:v>11/28/2025</c:v>
                </c:pt>
                <c:pt idx="8">
                  <c:v>12/5/2025</c:v>
                </c:pt>
                <c:pt idx="9">
                  <c:v>12/12/2025</c:v>
                </c:pt>
                <c:pt idx="10">
                  <c:v>12/19/2025</c:v>
                </c:pt>
                <c:pt idx="11">
                  <c:v>12/26/2025</c:v>
                </c:pt>
                <c:pt idx="12">
                  <c:v>1/2/2026</c:v>
                </c:pt>
                <c:pt idx="13">
                  <c:v>1/9/2026</c:v>
                </c:pt>
                <c:pt idx="14">
                  <c:v>1/16/2026</c:v>
                </c:pt>
                <c:pt idx="15">
                  <c:v>1/23/2026</c:v>
                </c:pt>
                <c:pt idx="16">
                  <c:v>1/30/2026</c:v>
                </c:pt>
                <c:pt idx="17">
                  <c:v>2/6/2026</c:v>
                </c:pt>
                <c:pt idx="18">
                  <c:v>2/13/2026</c:v>
                </c:pt>
                <c:pt idx="19">
                  <c:v>2/20/2026</c:v>
                </c:pt>
                <c:pt idx="20">
                  <c:v>2/27/2026</c:v>
                </c:pt>
                <c:pt idx="21">
                  <c:v>3/13/2026</c:v>
                </c:pt>
                <c:pt idx="22">
                  <c:v>3/20/2026</c:v>
                </c:pt>
                <c:pt idx="23">
                  <c:v>3/27/2026</c:v>
                </c:pt>
                <c:pt idx="24">
                  <c:v>4/3/2026</c:v>
                </c:pt>
                <c:pt idx="25">
                  <c:v>4/10/2026</c:v>
                </c:pt>
                <c:pt idx="26">
                  <c:v>4/17/2026</c:v>
                </c:pt>
                <c:pt idx="27">
                  <c:v>4/24/2026</c:v>
                </c:pt>
                <c:pt idx="28">
                  <c:v>5/1/2026</c:v>
                </c:pt>
                <c:pt idx="29">
                  <c:v>5/8/2026</c:v>
                </c:pt>
                <c:pt idx="30">
                  <c:v>5/15/2026</c:v>
                </c:pt>
                <c:pt idx="31">
                  <c:v>5/22/2026</c:v>
                </c:pt>
                <c:pt idx="32">
                  <c:v>05/29/2026</c:v>
                </c:pt>
                <c:pt idx="33">
                  <c:v>6/5/2026</c:v>
                </c:pt>
                <c:pt idx="34">
                  <c:v>6/12/2026</c:v>
                </c:pt>
                <c:pt idx="35">
                  <c:v>6/19/2026</c:v>
                </c:pt>
                <c:pt idx="36">
                  <c:v>6/26/2026</c:v>
                </c:pt>
              </c:strCache>
            </c:strRef>
          </c:cat>
          <c:val>
            <c:numRef>
              <c:f>NittyGrittySheet!$B$64:$AL$64</c:f>
              <c:numCache>
                <c:formatCode>General</c:formatCode>
                <c:ptCount val="37"/>
                <c:pt idx="0">
                  <c:v>129</c:v>
                </c:pt>
                <c:pt idx="1">
                  <c:v>128</c:v>
                </c:pt>
                <c:pt idx="2">
                  <c:v>125</c:v>
                </c:pt>
                <c:pt idx="3">
                  <c:v>124</c:v>
                </c:pt>
                <c:pt idx="4">
                  <c:v>115</c:v>
                </c:pt>
                <c:pt idx="5">
                  <c:v>95</c:v>
                </c:pt>
                <c:pt idx="6">
                  <c:v>91</c:v>
                </c:pt>
                <c:pt idx="7">
                  <c:v>91</c:v>
                </c:pt>
                <c:pt idx="8">
                  <c:v>80</c:v>
                </c:pt>
                <c:pt idx="9">
                  <c:v>77</c:v>
                </c:pt>
                <c:pt idx="10">
                  <c:v>75</c:v>
                </c:pt>
                <c:pt idx="11">
                  <c:v>74</c:v>
                </c:pt>
                <c:pt idx="12">
                  <c:v>72</c:v>
                </c:pt>
                <c:pt idx="13">
                  <c:v>65</c:v>
                </c:pt>
                <c:pt idx="14">
                  <c:v>62</c:v>
                </c:pt>
                <c:pt idx="15">
                  <c:v>61</c:v>
                </c:pt>
                <c:pt idx="16">
                  <c:v>58</c:v>
                </c:pt>
                <c:pt idx="17">
                  <c:v>52</c:v>
                </c:pt>
                <c:pt idx="18">
                  <c:v>48</c:v>
                </c:pt>
                <c:pt idx="19">
                  <c:v>49</c:v>
                </c:pt>
                <c:pt idx="20">
                  <c:v>47</c:v>
                </c:pt>
                <c:pt idx="21">
                  <c:v>45</c:v>
                </c:pt>
                <c:pt idx="22">
                  <c:v>39</c:v>
                </c:pt>
                <c:pt idx="23">
                  <c:v>36</c:v>
                </c:pt>
                <c:pt idx="24">
                  <c:v>32</c:v>
                </c:pt>
                <c:pt idx="25">
                  <c:v>26</c:v>
                </c:pt>
                <c:pt idx="26">
                  <c:v>16</c:v>
                </c:pt>
                <c:pt idx="27">
                  <c:v>17</c:v>
                </c:pt>
                <c:pt idx="28">
                  <c:v>17</c:v>
                </c:pt>
                <c:pt idx="29">
                  <c:v>16</c:v>
                </c:pt>
                <c:pt idx="30">
                  <c:v>9</c:v>
                </c:pt>
                <c:pt idx="31">
                  <c:v>8</c:v>
                </c:pt>
                <c:pt idx="32">
                  <c:v>8</c:v>
                </c:pt>
                <c:pt idx="33">
                  <c:v>8</c:v>
                </c:pt>
                <c:pt idx="34">
                  <c:v>6</c:v>
                </c:pt>
                <c:pt idx="35">
                  <c:v>2</c:v>
                </c:pt>
                <c:pt idx="3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74-4C13-A879-18B98A7A37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NittyGrittySheet!$A$63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NittyGrittySheet!$B$60:$AL$60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NittyGrittySheet!$B$63:$AL$63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7874-4C13-A879-18B98A7A371C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NittyGrittySheet!$A$65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NittyGrittySheet!$B$60:$AL$60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NittyGrittySheet!$B$65:$AL$65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2</c:v>
                      </c:pt>
                      <c:pt idx="19">
                        <c:v>2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2</c:v>
                      </c:pt>
                      <c:pt idx="25">
                        <c:v>2</c:v>
                      </c:pt>
                      <c:pt idx="26">
                        <c:v>2</c:v>
                      </c:pt>
                      <c:pt idx="27">
                        <c:v>1</c:v>
                      </c:pt>
                      <c:pt idx="28">
                        <c:v>2</c:v>
                      </c:pt>
                      <c:pt idx="29">
                        <c:v>2</c:v>
                      </c:pt>
                      <c:pt idx="30">
                        <c:v>3</c:v>
                      </c:pt>
                      <c:pt idx="31">
                        <c:v>3</c:v>
                      </c:pt>
                      <c:pt idx="32">
                        <c:v>3</c:v>
                      </c:pt>
                      <c:pt idx="33">
                        <c:v>3</c:v>
                      </c:pt>
                      <c:pt idx="34">
                        <c:v>3</c:v>
                      </c:pt>
                      <c:pt idx="35">
                        <c:v>3</c:v>
                      </c:pt>
                      <c:pt idx="36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7874-4C13-A879-18B98A7A371C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NittyGrittySheet!$A$66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NittyGrittySheet!$B$60:$AL$60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NittyGrittySheet!$B$66:$AL$66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3</c:v>
                      </c:pt>
                      <c:pt idx="5">
                        <c:v>4</c:v>
                      </c:pt>
                      <c:pt idx="6">
                        <c:v>4</c:v>
                      </c:pt>
                      <c:pt idx="7">
                        <c:v>4</c:v>
                      </c:pt>
                      <c:pt idx="8">
                        <c:v>5</c:v>
                      </c:pt>
                      <c:pt idx="9">
                        <c:v>5</c:v>
                      </c:pt>
                      <c:pt idx="10">
                        <c:v>5</c:v>
                      </c:pt>
                      <c:pt idx="11">
                        <c:v>5</c:v>
                      </c:pt>
                      <c:pt idx="12">
                        <c:v>5</c:v>
                      </c:pt>
                      <c:pt idx="13">
                        <c:v>5</c:v>
                      </c:pt>
                      <c:pt idx="14">
                        <c:v>5</c:v>
                      </c:pt>
                      <c:pt idx="15">
                        <c:v>5</c:v>
                      </c:pt>
                      <c:pt idx="16">
                        <c:v>5</c:v>
                      </c:pt>
                      <c:pt idx="17">
                        <c:v>5</c:v>
                      </c:pt>
                      <c:pt idx="18">
                        <c:v>5</c:v>
                      </c:pt>
                      <c:pt idx="19">
                        <c:v>5</c:v>
                      </c:pt>
                      <c:pt idx="20">
                        <c:v>5</c:v>
                      </c:pt>
                      <c:pt idx="21">
                        <c:v>5</c:v>
                      </c:pt>
                      <c:pt idx="22">
                        <c:v>5</c:v>
                      </c:pt>
                      <c:pt idx="23">
                        <c:v>5</c:v>
                      </c:pt>
                      <c:pt idx="24">
                        <c:v>5</c:v>
                      </c:pt>
                      <c:pt idx="25">
                        <c:v>5</c:v>
                      </c:pt>
                      <c:pt idx="26">
                        <c:v>5</c:v>
                      </c:pt>
                      <c:pt idx="27">
                        <c:v>5</c:v>
                      </c:pt>
                      <c:pt idx="28">
                        <c:v>5</c:v>
                      </c:pt>
                      <c:pt idx="29">
                        <c:v>5</c:v>
                      </c:pt>
                      <c:pt idx="30">
                        <c:v>5</c:v>
                      </c:pt>
                      <c:pt idx="31">
                        <c:v>5</c:v>
                      </c:pt>
                      <c:pt idx="32">
                        <c:v>5</c:v>
                      </c:pt>
                      <c:pt idx="33">
                        <c:v>5</c:v>
                      </c:pt>
                      <c:pt idx="34">
                        <c:v>6</c:v>
                      </c:pt>
                      <c:pt idx="35">
                        <c:v>5</c:v>
                      </c:pt>
                      <c:pt idx="36">
                        <c:v>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874-4C13-A879-18B98A7A371C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NittyGrittySheet!$A$67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NittyGrittySheet!$B$60:$AL$60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NittyGrittySheet!$B$67:$AL$67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2</c:v>
                      </c:pt>
                      <c:pt idx="18">
                        <c:v>2</c:v>
                      </c:pt>
                      <c:pt idx="19">
                        <c:v>2</c:v>
                      </c:pt>
                      <c:pt idx="20">
                        <c:v>2</c:v>
                      </c:pt>
                      <c:pt idx="21">
                        <c:v>2</c:v>
                      </c:pt>
                      <c:pt idx="22">
                        <c:v>2</c:v>
                      </c:pt>
                      <c:pt idx="23">
                        <c:v>2</c:v>
                      </c:pt>
                      <c:pt idx="24">
                        <c:v>3</c:v>
                      </c:pt>
                      <c:pt idx="25">
                        <c:v>3</c:v>
                      </c:pt>
                      <c:pt idx="26">
                        <c:v>3</c:v>
                      </c:pt>
                      <c:pt idx="27">
                        <c:v>3</c:v>
                      </c:pt>
                      <c:pt idx="28">
                        <c:v>3</c:v>
                      </c:pt>
                      <c:pt idx="29">
                        <c:v>3</c:v>
                      </c:pt>
                      <c:pt idx="30">
                        <c:v>3</c:v>
                      </c:pt>
                      <c:pt idx="31">
                        <c:v>3</c:v>
                      </c:pt>
                      <c:pt idx="32">
                        <c:v>3</c:v>
                      </c:pt>
                      <c:pt idx="33">
                        <c:v>4</c:v>
                      </c:pt>
                      <c:pt idx="34">
                        <c:v>4</c:v>
                      </c:pt>
                      <c:pt idx="35">
                        <c:v>5</c:v>
                      </c:pt>
                      <c:pt idx="36">
                        <c:v>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874-4C13-A879-18B98A7A371C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NittyGrittySheet!$A$68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NittyGrittySheet!$B$60:$AL$60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NittyGrittySheet!$B$68:$AL$68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3</c:v>
                      </c:pt>
                      <c:pt idx="1">
                        <c:v>3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3</c:v>
                      </c:pt>
                      <c:pt idx="8">
                        <c:v>3</c:v>
                      </c:pt>
                      <c:pt idx="9">
                        <c:v>3</c:v>
                      </c:pt>
                      <c:pt idx="10">
                        <c:v>3</c:v>
                      </c:pt>
                      <c:pt idx="11">
                        <c:v>3</c:v>
                      </c:pt>
                      <c:pt idx="12">
                        <c:v>3</c:v>
                      </c:pt>
                      <c:pt idx="13">
                        <c:v>3</c:v>
                      </c:pt>
                      <c:pt idx="14">
                        <c:v>3</c:v>
                      </c:pt>
                      <c:pt idx="15">
                        <c:v>3</c:v>
                      </c:pt>
                      <c:pt idx="16">
                        <c:v>2</c:v>
                      </c:pt>
                      <c:pt idx="17">
                        <c:v>2</c:v>
                      </c:pt>
                      <c:pt idx="18">
                        <c:v>2</c:v>
                      </c:pt>
                      <c:pt idx="19">
                        <c:v>2</c:v>
                      </c:pt>
                      <c:pt idx="20">
                        <c:v>2</c:v>
                      </c:pt>
                      <c:pt idx="21">
                        <c:v>1</c:v>
                      </c:pt>
                      <c:pt idx="22">
                        <c:v>2</c:v>
                      </c:pt>
                      <c:pt idx="23">
                        <c:v>2</c:v>
                      </c:pt>
                      <c:pt idx="24">
                        <c:v>3</c:v>
                      </c:pt>
                      <c:pt idx="25">
                        <c:v>6</c:v>
                      </c:pt>
                      <c:pt idx="26">
                        <c:v>9</c:v>
                      </c:pt>
                      <c:pt idx="27">
                        <c:v>9</c:v>
                      </c:pt>
                      <c:pt idx="28">
                        <c:v>9</c:v>
                      </c:pt>
                      <c:pt idx="29">
                        <c:v>10</c:v>
                      </c:pt>
                      <c:pt idx="30">
                        <c:v>11</c:v>
                      </c:pt>
                      <c:pt idx="31">
                        <c:v>11</c:v>
                      </c:pt>
                      <c:pt idx="32">
                        <c:v>11</c:v>
                      </c:pt>
                      <c:pt idx="33">
                        <c:v>13</c:v>
                      </c:pt>
                      <c:pt idx="34">
                        <c:v>11</c:v>
                      </c:pt>
                      <c:pt idx="35">
                        <c:v>11</c:v>
                      </c:pt>
                      <c:pt idx="36">
                        <c:v>11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874-4C13-A879-18B98A7A371C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NittyGrittySheet!$A$69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NittyGrittySheet!$B$60:$AL$60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NittyGrittySheet!$B$69:$AL$69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7874-4C13-A879-18B98A7A371C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NittyGrittySheet!$A$70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NittyGrittySheet!$B$60:$AL$60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NittyGrittySheet!$B$70:$AL$70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3</c:v>
                      </c:pt>
                      <c:pt idx="8">
                        <c:v>3</c:v>
                      </c:pt>
                      <c:pt idx="9">
                        <c:v>3</c:v>
                      </c:pt>
                      <c:pt idx="10">
                        <c:v>3</c:v>
                      </c:pt>
                      <c:pt idx="11">
                        <c:v>3</c:v>
                      </c:pt>
                      <c:pt idx="12">
                        <c:v>3</c:v>
                      </c:pt>
                      <c:pt idx="13">
                        <c:v>4</c:v>
                      </c:pt>
                      <c:pt idx="14">
                        <c:v>4</c:v>
                      </c:pt>
                      <c:pt idx="15">
                        <c:v>4</c:v>
                      </c:pt>
                      <c:pt idx="16">
                        <c:v>4</c:v>
                      </c:pt>
                      <c:pt idx="17">
                        <c:v>4</c:v>
                      </c:pt>
                      <c:pt idx="18">
                        <c:v>4</c:v>
                      </c:pt>
                      <c:pt idx="19">
                        <c:v>4</c:v>
                      </c:pt>
                      <c:pt idx="20">
                        <c:v>3</c:v>
                      </c:pt>
                      <c:pt idx="21">
                        <c:v>3</c:v>
                      </c:pt>
                      <c:pt idx="22">
                        <c:v>3</c:v>
                      </c:pt>
                      <c:pt idx="23">
                        <c:v>4</c:v>
                      </c:pt>
                      <c:pt idx="24">
                        <c:v>4</c:v>
                      </c:pt>
                      <c:pt idx="25">
                        <c:v>4</c:v>
                      </c:pt>
                      <c:pt idx="26">
                        <c:v>5</c:v>
                      </c:pt>
                      <c:pt idx="27">
                        <c:v>5</c:v>
                      </c:pt>
                      <c:pt idx="28">
                        <c:v>6</c:v>
                      </c:pt>
                      <c:pt idx="29">
                        <c:v>6</c:v>
                      </c:pt>
                      <c:pt idx="30">
                        <c:v>6</c:v>
                      </c:pt>
                      <c:pt idx="31">
                        <c:v>6</c:v>
                      </c:pt>
                      <c:pt idx="32">
                        <c:v>6</c:v>
                      </c:pt>
                      <c:pt idx="33">
                        <c:v>6</c:v>
                      </c:pt>
                      <c:pt idx="34">
                        <c:v>6</c:v>
                      </c:pt>
                      <c:pt idx="35">
                        <c:v>6</c:v>
                      </c:pt>
                      <c:pt idx="36">
                        <c:v>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7874-4C13-A879-18B98A7A371C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NittyGrittySheet!$A$71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NittyGrittySheet!$B$60:$AL$60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NittyGrittySheet!$B$71:$AL$71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180</c:v>
                      </c:pt>
                      <c:pt idx="1">
                        <c:v>180</c:v>
                      </c:pt>
                      <c:pt idx="2">
                        <c:v>180</c:v>
                      </c:pt>
                      <c:pt idx="3">
                        <c:v>180</c:v>
                      </c:pt>
                      <c:pt idx="4">
                        <c:v>180</c:v>
                      </c:pt>
                      <c:pt idx="5">
                        <c:v>178</c:v>
                      </c:pt>
                      <c:pt idx="6">
                        <c:v>178</c:v>
                      </c:pt>
                      <c:pt idx="7">
                        <c:v>178</c:v>
                      </c:pt>
                      <c:pt idx="8">
                        <c:v>179</c:v>
                      </c:pt>
                      <c:pt idx="9">
                        <c:v>178</c:v>
                      </c:pt>
                      <c:pt idx="10">
                        <c:v>177</c:v>
                      </c:pt>
                      <c:pt idx="11">
                        <c:v>177</c:v>
                      </c:pt>
                      <c:pt idx="12">
                        <c:v>177</c:v>
                      </c:pt>
                      <c:pt idx="13">
                        <c:v>177</c:v>
                      </c:pt>
                      <c:pt idx="14">
                        <c:v>178</c:v>
                      </c:pt>
                      <c:pt idx="15">
                        <c:v>177</c:v>
                      </c:pt>
                      <c:pt idx="16">
                        <c:v>174</c:v>
                      </c:pt>
                      <c:pt idx="17">
                        <c:v>172</c:v>
                      </c:pt>
                      <c:pt idx="18">
                        <c:v>170</c:v>
                      </c:pt>
                      <c:pt idx="19">
                        <c:v>170</c:v>
                      </c:pt>
                      <c:pt idx="20">
                        <c:v>170</c:v>
                      </c:pt>
                      <c:pt idx="21">
                        <c:v>170</c:v>
                      </c:pt>
                      <c:pt idx="22">
                        <c:v>168</c:v>
                      </c:pt>
                      <c:pt idx="23">
                        <c:v>167</c:v>
                      </c:pt>
                      <c:pt idx="24">
                        <c:v>167</c:v>
                      </c:pt>
                      <c:pt idx="25">
                        <c:v>166</c:v>
                      </c:pt>
                      <c:pt idx="26">
                        <c:v>164</c:v>
                      </c:pt>
                      <c:pt idx="27">
                        <c:v>161</c:v>
                      </c:pt>
                      <c:pt idx="28">
                        <c:v>162</c:v>
                      </c:pt>
                      <c:pt idx="29">
                        <c:v>161</c:v>
                      </c:pt>
                      <c:pt idx="30">
                        <c:v>154</c:v>
                      </c:pt>
                      <c:pt idx="31">
                        <c:v>153</c:v>
                      </c:pt>
                      <c:pt idx="32">
                        <c:v>151</c:v>
                      </c:pt>
                      <c:pt idx="33">
                        <c:v>150</c:v>
                      </c:pt>
                      <c:pt idx="34">
                        <c:v>149</c:v>
                      </c:pt>
                      <c:pt idx="35">
                        <c:v>146</c:v>
                      </c:pt>
                      <c:pt idx="36">
                        <c:v>144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7874-4C13-A879-18B98A7A371C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% Placed 5 Year Summary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BSEnt!$O$24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BSEnt!$M$25:$M$38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BSEnt!$O$25:$O$38</c:f>
              <c:numCache>
                <c:formatCode>0.00%</c:formatCode>
                <c:ptCount val="14"/>
                <c:pt idx="0">
                  <c:v>0.22727272727272727</c:v>
                </c:pt>
                <c:pt idx="1">
                  <c:v>0.22727272727272727</c:v>
                </c:pt>
                <c:pt idx="2">
                  <c:v>0.22727272727272727</c:v>
                </c:pt>
                <c:pt idx="3">
                  <c:v>0.22727272727272727</c:v>
                </c:pt>
                <c:pt idx="4">
                  <c:v>0.22727272727272727</c:v>
                </c:pt>
                <c:pt idx="5">
                  <c:v>0.40909090909090912</c:v>
                </c:pt>
                <c:pt idx="6">
                  <c:v>0.45454545454545453</c:v>
                </c:pt>
                <c:pt idx="7">
                  <c:v>0.59090909090909094</c:v>
                </c:pt>
                <c:pt idx="8">
                  <c:v>0.59090909090909094</c:v>
                </c:pt>
                <c:pt idx="9">
                  <c:v>0.63636363636363635</c:v>
                </c:pt>
                <c:pt idx="10">
                  <c:v>0.63636363636363635</c:v>
                </c:pt>
                <c:pt idx="11">
                  <c:v>0.68181818181818177</c:v>
                </c:pt>
                <c:pt idx="12">
                  <c:v>0.95454545454545459</c:v>
                </c:pt>
                <c:pt idx="13">
                  <c:v>0.95454545454545459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AD-40EA-944B-A09FEBEE52E7}"/>
            </c:ext>
          </c:extLst>
        </c:ser>
        <c:ser>
          <c:idx val="2"/>
          <c:order val="1"/>
          <c:tx>
            <c:strRef>
              <c:f>BSEnt!$P$24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BSEnt!$M$25:$M$38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BSEnt!$P$25:$P$38</c:f>
              <c:numCache>
                <c:formatCode>0.00%</c:formatCode>
                <c:ptCount val="14"/>
                <c:pt idx="0">
                  <c:v>0.16</c:v>
                </c:pt>
                <c:pt idx="1">
                  <c:v>0.16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  <c:pt idx="5">
                  <c:v>0.2</c:v>
                </c:pt>
                <c:pt idx="6">
                  <c:v>0.28000000000000003</c:v>
                </c:pt>
                <c:pt idx="7">
                  <c:v>0.32</c:v>
                </c:pt>
                <c:pt idx="8">
                  <c:v>0.4</c:v>
                </c:pt>
                <c:pt idx="9">
                  <c:v>0.4</c:v>
                </c:pt>
                <c:pt idx="10">
                  <c:v>0.4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6DAD-40EA-944B-A09FEBEE52E7}"/>
            </c:ext>
          </c:extLst>
        </c:ser>
        <c:ser>
          <c:idx val="3"/>
          <c:order val="2"/>
          <c:tx>
            <c:strRef>
              <c:f>BSEnt!$Q$24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BSEnt!$M$25:$M$38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BSEnt!$Q$25:$Q$38</c:f>
              <c:numCache>
                <c:formatCode>0.00%</c:formatCode>
                <c:ptCount val="14"/>
                <c:pt idx="0">
                  <c:v>0.1875</c:v>
                </c:pt>
                <c:pt idx="1">
                  <c:v>0.1875</c:v>
                </c:pt>
                <c:pt idx="2">
                  <c:v>0.1875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0.3125</c:v>
                </c:pt>
                <c:pt idx="8">
                  <c:v>0.375</c:v>
                </c:pt>
                <c:pt idx="9">
                  <c:v>0.8125</c:v>
                </c:pt>
                <c:pt idx="10">
                  <c:v>0.875</c:v>
                </c:pt>
                <c:pt idx="11">
                  <c:v>0.875</c:v>
                </c:pt>
                <c:pt idx="12">
                  <c:v>0.875</c:v>
                </c:pt>
                <c:pt idx="13">
                  <c:v>0.875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6DAD-40EA-944B-A09FEBEE52E7}"/>
            </c:ext>
          </c:extLst>
        </c:ser>
        <c:ser>
          <c:idx val="4"/>
          <c:order val="3"/>
          <c:tx>
            <c:strRef>
              <c:f>BSEnt!$R$24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BSEnt!$M$25:$M$38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BSEnt!$R$25:$R$38</c:f>
              <c:numCache>
                <c:formatCode>0.00%</c:formatCode>
                <c:ptCount val="14"/>
                <c:pt idx="0">
                  <c:v>0.15789473684210525</c:v>
                </c:pt>
                <c:pt idx="1">
                  <c:v>0.15789473684210525</c:v>
                </c:pt>
                <c:pt idx="2">
                  <c:v>0.26315789473684209</c:v>
                </c:pt>
                <c:pt idx="3">
                  <c:v>0.26315789473684209</c:v>
                </c:pt>
                <c:pt idx="4">
                  <c:v>0.26315789473684209</c:v>
                </c:pt>
                <c:pt idx="5">
                  <c:v>0.26315789473684209</c:v>
                </c:pt>
                <c:pt idx="6">
                  <c:v>0.26315789473684209</c:v>
                </c:pt>
                <c:pt idx="7">
                  <c:v>0.26315789473684209</c:v>
                </c:pt>
                <c:pt idx="8">
                  <c:v>0.26315789473684209</c:v>
                </c:pt>
                <c:pt idx="9">
                  <c:v>0.26315789473684209</c:v>
                </c:pt>
                <c:pt idx="10">
                  <c:v>0.31578947368421051</c:v>
                </c:pt>
                <c:pt idx="11">
                  <c:v>0.78947368421052633</c:v>
                </c:pt>
                <c:pt idx="12">
                  <c:v>0.78947368421052633</c:v>
                </c:pt>
                <c:pt idx="13">
                  <c:v>0.78947368421052633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6DAD-40EA-944B-A09FEBEE52E7}"/>
            </c:ext>
          </c:extLst>
        </c:ser>
        <c:ser>
          <c:idx val="5"/>
          <c:order val="4"/>
          <c:tx>
            <c:strRef>
              <c:f>BSEnt!$S$24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BSEnt!$M$25:$M$38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BSEnt!$S$25:$S$38</c:f>
              <c:numCache>
                <c:formatCode>0.00%</c:formatCode>
                <c:ptCount val="14"/>
                <c:pt idx="0">
                  <c:v>0.16</c:v>
                </c:pt>
                <c:pt idx="1">
                  <c:v>0.16</c:v>
                </c:pt>
                <c:pt idx="2">
                  <c:v>0.16</c:v>
                </c:pt>
                <c:pt idx="3">
                  <c:v>0.16</c:v>
                </c:pt>
                <c:pt idx="4">
                  <c:v>0.16</c:v>
                </c:pt>
                <c:pt idx="5">
                  <c:v>0.2</c:v>
                </c:pt>
                <c:pt idx="6">
                  <c:v>0.2</c:v>
                </c:pt>
                <c:pt idx="7">
                  <c:v>0.2</c:v>
                </c:pt>
                <c:pt idx="8">
                  <c:v>0.24</c:v>
                </c:pt>
                <c:pt idx="9">
                  <c:v>0.24</c:v>
                </c:pt>
                <c:pt idx="10">
                  <c:v>0.88</c:v>
                </c:pt>
                <c:pt idx="11">
                  <c:v>0.88</c:v>
                </c:pt>
                <c:pt idx="12">
                  <c:v>0.92</c:v>
                </c:pt>
                <c:pt idx="13">
                  <c:v>0.92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6DAD-40EA-944B-A09FEBEE52E7}"/>
            </c:ext>
          </c:extLst>
        </c:ser>
        <c:ser>
          <c:idx val="0"/>
          <c:order val="5"/>
          <c:tx>
            <c:strRef>
              <c:f>BSEnt!$N$24</c:f>
              <c:strCache>
                <c:ptCount val="1"/>
                <c:pt idx="0">
                  <c:v>2026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BSEnt!$M$25:$M$38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BSEnt!$N$25:$N$38</c:f>
              <c:numCache>
                <c:formatCode>0.00%</c:formatCode>
                <c:ptCount val="14"/>
                <c:pt idx="2">
                  <c:v>0.15870000000000001</c:v>
                </c:pt>
                <c:pt idx="3">
                  <c:v>0.1406</c:v>
                </c:pt>
                <c:pt idx="4">
                  <c:v>0.1739</c:v>
                </c:pt>
                <c:pt idx="5">
                  <c:v>0.22389999999999999</c:v>
                </c:pt>
                <c:pt idx="6">
                  <c:v>0.2273</c:v>
                </c:pt>
                <c:pt idx="7">
                  <c:v>0.2424</c:v>
                </c:pt>
                <c:pt idx="8">
                  <c:v>0.28570000000000001</c:v>
                </c:pt>
                <c:pt idx="9">
                  <c:v>0.35089999999999999</c:v>
                </c:pt>
                <c:pt idx="10">
                  <c:v>0.5333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DAD-40EA-944B-A09FEBEE52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Placmement</a:t>
            </a:r>
            <a:r>
              <a:rPr lang="en-US" baseline="0"/>
              <a:t>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NittyGrittySheet!$A$75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NittyGrittySheet!$B$74:$AL$74</c:f>
              <c:strCache>
                <c:ptCount val="37"/>
                <c:pt idx="0">
                  <c:v>10/13/2025</c:v>
                </c:pt>
                <c:pt idx="1">
                  <c:v>10/17/2025</c:v>
                </c:pt>
                <c:pt idx="2">
                  <c:v>10/24/2025</c:v>
                </c:pt>
                <c:pt idx="3">
                  <c:v>10/31/2025</c:v>
                </c:pt>
                <c:pt idx="4">
                  <c:v>11/7/2025</c:v>
                </c:pt>
                <c:pt idx="5">
                  <c:v>11/14/2025</c:v>
                </c:pt>
                <c:pt idx="6">
                  <c:v>11/21/2025</c:v>
                </c:pt>
                <c:pt idx="7">
                  <c:v>11/28/2025</c:v>
                </c:pt>
                <c:pt idx="8">
                  <c:v>12/5/2025</c:v>
                </c:pt>
                <c:pt idx="9">
                  <c:v>12/12/2025</c:v>
                </c:pt>
                <c:pt idx="10">
                  <c:v>12/19/2025</c:v>
                </c:pt>
                <c:pt idx="11">
                  <c:v>12/26/2025</c:v>
                </c:pt>
                <c:pt idx="12">
                  <c:v>1/2/2026</c:v>
                </c:pt>
                <c:pt idx="13">
                  <c:v>1/9/2026</c:v>
                </c:pt>
                <c:pt idx="14">
                  <c:v>1/16/2026</c:v>
                </c:pt>
                <c:pt idx="15">
                  <c:v>1/23/2026</c:v>
                </c:pt>
                <c:pt idx="16">
                  <c:v>1/30/2026</c:v>
                </c:pt>
                <c:pt idx="17">
                  <c:v>2/6/2026</c:v>
                </c:pt>
                <c:pt idx="18">
                  <c:v>2/13/2026</c:v>
                </c:pt>
                <c:pt idx="19">
                  <c:v>2/20/2026</c:v>
                </c:pt>
                <c:pt idx="20">
                  <c:v>2/27/2026</c:v>
                </c:pt>
                <c:pt idx="21">
                  <c:v>3/13/2026</c:v>
                </c:pt>
                <c:pt idx="22">
                  <c:v>3/20/2026</c:v>
                </c:pt>
                <c:pt idx="23">
                  <c:v>3/27/2026</c:v>
                </c:pt>
                <c:pt idx="24">
                  <c:v>4/3/2026</c:v>
                </c:pt>
                <c:pt idx="25">
                  <c:v>4/10/2026</c:v>
                </c:pt>
                <c:pt idx="26">
                  <c:v>4/17/2026</c:v>
                </c:pt>
                <c:pt idx="27">
                  <c:v>4/24/2026</c:v>
                </c:pt>
                <c:pt idx="28">
                  <c:v>5/1/2026</c:v>
                </c:pt>
                <c:pt idx="29">
                  <c:v>5/8/2026</c:v>
                </c:pt>
                <c:pt idx="30">
                  <c:v>5/15/2026</c:v>
                </c:pt>
                <c:pt idx="31">
                  <c:v>5/22/2026</c:v>
                </c:pt>
                <c:pt idx="32">
                  <c:v>05/29/2026</c:v>
                </c:pt>
                <c:pt idx="33">
                  <c:v>6/5/2026</c:v>
                </c:pt>
                <c:pt idx="34">
                  <c:v>6/12/2026</c:v>
                </c:pt>
                <c:pt idx="35">
                  <c:v>6/19/2026</c:v>
                </c:pt>
                <c:pt idx="36">
                  <c:v>6/26/2026</c:v>
                </c:pt>
              </c:strCache>
            </c:strRef>
          </c:cat>
          <c:val>
            <c:numRef>
              <c:f>NittyGrittySheet!$B$75:$AL$75</c:f>
              <c:numCache>
                <c:formatCode>0.00%</c:formatCode>
                <c:ptCount val="37"/>
                <c:pt idx="0">
                  <c:v>0.1452</c:v>
                </c:pt>
                <c:pt idx="1">
                  <c:v>0.15870000000000001</c:v>
                </c:pt>
                <c:pt idx="2">
                  <c:v>0.15870000000000001</c:v>
                </c:pt>
                <c:pt idx="3">
                  <c:v>0.15870000000000001</c:v>
                </c:pt>
                <c:pt idx="4">
                  <c:v>0.15620000000000001</c:v>
                </c:pt>
                <c:pt idx="5">
                  <c:v>0.1406</c:v>
                </c:pt>
                <c:pt idx="6">
                  <c:v>0.1406</c:v>
                </c:pt>
                <c:pt idx="7">
                  <c:v>0.1406</c:v>
                </c:pt>
                <c:pt idx="8">
                  <c:v>0.16420000000000001</c:v>
                </c:pt>
                <c:pt idx="9">
                  <c:v>0.1739</c:v>
                </c:pt>
                <c:pt idx="10">
                  <c:v>0.1739</c:v>
                </c:pt>
                <c:pt idx="11">
                  <c:v>0.1739</c:v>
                </c:pt>
                <c:pt idx="12">
                  <c:v>0.17649999999999999</c:v>
                </c:pt>
                <c:pt idx="13">
                  <c:v>0.2059</c:v>
                </c:pt>
                <c:pt idx="14">
                  <c:v>0.22059999999999999</c:v>
                </c:pt>
                <c:pt idx="15">
                  <c:v>0.22059999999999999</c:v>
                </c:pt>
                <c:pt idx="16">
                  <c:v>0.22389999999999999</c:v>
                </c:pt>
                <c:pt idx="17">
                  <c:v>0.22389999999999999</c:v>
                </c:pt>
                <c:pt idx="18">
                  <c:v>0.2273</c:v>
                </c:pt>
                <c:pt idx="19">
                  <c:v>0.2273</c:v>
                </c:pt>
                <c:pt idx="20">
                  <c:v>0.2273</c:v>
                </c:pt>
                <c:pt idx="21">
                  <c:v>0.2273</c:v>
                </c:pt>
                <c:pt idx="22">
                  <c:v>0.2273</c:v>
                </c:pt>
                <c:pt idx="23">
                  <c:v>0.2424</c:v>
                </c:pt>
                <c:pt idx="24">
                  <c:v>0.2576</c:v>
                </c:pt>
                <c:pt idx="25">
                  <c:v>0.28570000000000001</c:v>
                </c:pt>
                <c:pt idx="26">
                  <c:v>0.2969</c:v>
                </c:pt>
                <c:pt idx="27">
                  <c:v>0.28570000000000001</c:v>
                </c:pt>
                <c:pt idx="28">
                  <c:v>0.28570000000000001</c:v>
                </c:pt>
                <c:pt idx="29">
                  <c:v>0.28570000000000001</c:v>
                </c:pt>
                <c:pt idx="30">
                  <c:v>0.3115</c:v>
                </c:pt>
                <c:pt idx="31">
                  <c:v>0.3276</c:v>
                </c:pt>
                <c:pt idx="32">
                  <c:v>0.35089999999999999</c:v>
                </c:pt>
                <c:pt idx="33">
                  <c:v>0.33929999999999999</c:v>
                </c:pt>
                <c:pt idx="34">
                  <c:v>0.54349999999999998</c:v>
                </c:pt>
                <c:pt idx="35">
                  <c:v>0.54349999999999998</c:v>
                </c:pt>
                <c:pt idx="36">
                  <c:v>0.5333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7F-4BBA-823D-210FB33633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Search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NittyGrittySheet!$A$78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NittyGrittySheet!$B$77:$AL$77</c:f>
              <c:strCache>
                <c:ptCount val="37"/>
                <c:pt idx="0">
                  <c:v>10/13/2025</c:v>
                </c:pt>
                <c:pt idx="1">
                  <c:v>10/17/2025</c:v>
                </c:pt>
                <c:pt idx="2">
                  <c:v>10/24/2025</c:v>
                </c:pt>
                <c:pt idx="3">
                  <c:v>10/31/2025</c:v>
                </c:pt>
                <c:pt idx="4">
                  <c:v>11/7/2025</c:v>
                </c:pt>
                <c:pt idx="5">
                  <c:v>11/14/2025</c:v>
                </c:pt>
                <c:pt idx="6">
                  <c:v>11/21/2025</c:v>
                </c:pt>
                <c:pt idx="7">
                  <c:v>11/28/2025</c:v>
                </c:pt>
                <c:pt idx="8">
                  <c:v>12/5/2025</c:v>
                </c:pt>
                <c:pt idx="9">
                  <c:v>12/12/2025</c:v>
                </c:pt>
                <c:pt idx="10">
                  <c:v>12/19/2025</c:v>
                </c:pt>
                <c:pt idx="11">
                  <c:v>12/26/2025</c:v>
                </c:pt>
                <c:pt idx="12">
                  <c:v>1/2/2026</c:v>
                </c:pt>
                <c:pt idx="13">
                  <c:v>1/9/2026</c:v>
                </c:pt>
                <c:pt idx="14">
                  <c:v>1/16/2026</c:v>
                </c:pt>
                <c:pt idx="15">
                  <c:v>1/23/2026</c:v>
                </c:pt>
                <c:pt idx="16">
                  <c:v>1/30/2026</c:v>
                </c:pt>
                <c:pt idx="17">
                  <c:v>2/6/2026</c:v>
                </c:pt>
                <c:pt idx="18">
                  <c:v>2/13/2026</c:v>
                </c:pt>
                <c:pt idx="19">
                  <c:v>2/20/2026</c:v>
                </c:pt>
                <c:pt idx="20">
                  <c:v>2/27/2026</c:v>
                </c:pt>
                <c:pt idx="21">
                  <c:v>3/13/2026</c:v>
                </c:pt>
                <c:pt idx="22">
                  <c:v>3/20/2026</c:v>
                </c:pt>
                <c:pt idx="23">
                  <c:v>3/27/2026</c:v>
                </c:pt>
                <c:pt idx="24">
                  <c:v>4/3/2026</c:v>
                </c:pt>
                <c:pt idx="25">
                  <c:v>4/10/2026</c:v>
                </c:pt>
                <c:pt idx="26">
                  <c:v>4/17/2026</c:v>
                </c:pt>
                <c:pt idx="27">
                  <c:v>4/24/2026</c:v>
                </c:pt>
                <c:pt idx="28">
                  <c:v>5/1/2026</c:v>
                </c:pt>
                <c:pt idx="29">
                  <c:v>5/8/2026</c:v>
                </c:pt>
                <c:pt idx="30">
                  <c:v>5/15/2026</c:v>
                </c:pt>
                <c:pt idx="31">
                  <c:v>5/22/2026</c:v>
                </c:pt>
                <c:pt idx="32">
                  <c:v>05/29/2026</c:v>
                </c:pt>
                <c:pt idx="33">
                  <c:v>6/5/2026</c:v>
                </c:pt>
                <c:pt idx="34">
                  <c:v>6/12/2026</c:v>
                </c:pt>
                <c:pt idx="35">
                  <c:v>6/19/2026</c:v>
                </c:pt>
                <c:pt idx="36">
                  <c:v>6/26/2026</c:v>
                </c:pt>
              </c:strCache>
            </c:strRef>
          </c:cat>
          <c:val>
            <c:numRef>
              <c:f>NittyGrittySheet!$B$78:$AL$78</c:f>
              <c:numCache>
                <c:formatCode>General</c:formatCode>
                <c:ptCount val="37"/>
                <c:pt idx="0">
                  <c:v>9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9</c:v>
                </c:pt>
                <c:pt idx="6">
                  <c:v>9</c:v>
                </c:pt>
                <c:pt idx="7">
                  <c:v>9</c:v>
                </c:pt>
                <c:pt idx="8">
                  <c:v>11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12</c:v>
                </c:pt>
                <c:pt idx="13">
                  <c:v>14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16</c:v>
                </c:pt>
                <c:pt idx="24">
                  <c:v>17</c:v>
                </c:pt>
                <c:pt idx="25">
                  <c:v>18</c:v>
                </c:pt>
                <c:pt idx="26">
                  <c:v>19</c:v>
                </c:pt>
                <c:pt idx="27">
                  <c:v>18</c:v>
                </c:pt>
                <c:pt idx="28">
                  <c:v>18</c:v>
                </c:pt>
                <c:pt idx="29">
                  <c:v>18</c:v>
                </c:pt>
                <c:pt idx="30">
                  <c:v>19</c:v>
                </c:pt>
                <c:pt idx="31">
                  <c:v>19</c:v>
                </c:pt>
                <c:pt idx="32">
                  <c:v>20</c:v>
                </c:pt>
                <c:pt idx="33">
                  <c:v>19</c:v>
                </c:pt>
                <c:pt idx="34">
                  <c:v>25</c:v>
                </c:pt>
                <c:pt idx="35">
                  <c:v>25</c:v>
                </c:pt>
                <c:pt idx="36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F1-4015-826B-1E370DC20998}"/>
            </c:ext>
          </c:extLst>
        </c:ser>
        <c:ser>
          <c:idx val="1"/>
          <c:order val="1"/>
          <c:tx>
            <c:strRef>
              <c:f>NittyGrittySheet!$A$79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NittyGrittySheet!$B$77:$AL$77</c:f>
              <c:strCache>
                <c:ptCount val="37"/>
                <c:pt idx="0">
                  <c:v>10/13/2025</c:v>
                </c:pt>
                <c:pt idx="1">
                  <c:v>10/17/2025</c:v>
                </c:pt>
                <c:pt idx="2">
                  <c:v>10/24/2025</c:v>
                </c:pt>
                <c:pt idx="3">
                  <c:v>10/31/2025</c:v>
                </c:pt>
                <c:pt idx="4">
                  <c:v>11/7/2025</c:v>
                </c:pt>
                <c:pt idx="5">
                  <c:v>11/14/2025</c:v>
                </c:pt>
                <c:pt idx="6">
                  <c:v>11/21/2025</c:v>
                </c:pt>
                <c:pt idx="7">
                  <c:v>11/28/2025</c:v>
                </c:pt>
                <c:pt idx="8">
                  <c:v>12/5/2025</c:v>
                </c:pt>
                <c:pt idx="9">
                  <c:v>12/12/2025</c:v>
                </c:pt>
                <c:pt idx="10">
                  <c:v>12/19/2025</c:v>
                </c:pt>
                <c:pt idx="11">
                  <c:v>12/26/2025</c:v>
                </c:pt>
                <c:pt idx="12">
                  <c:v>1/2/2026</c:v>
                </c:pt>
                <c:pt idx="13">
                  <c:v>1/9/2026</c:v>
                </c:pt>
                <c:pt idx="14">
                  <c:v>1/16/2026</c:v>
                </c:pt>
                <c:pt idx="15">
                  <c:v>1/23/2026</c:v>
                </c:pt>
                <c:pt idx="16">
                  <c:v>1/30/2026</c:v>
                </c:pt>
                <c:pt idx="17">
                  <c:v>2/6/2026</c:v>
                </c:pt>
                <c:pt idx="18">
                  <c:v>2/13/2026</c:v>
                </c:pt>
                <c:pt idx="19">
                  <c:v>2/20/2026</c:v>
                </c:pt>
                <c:pt idx="20">
                  <c:v>2/27/2026</c:v>
                </c:pt>
                <c:pt idx="21">
                  <c:v>3/13/2026</c:v>
                </c:pt>
                <c:pt idx="22">
                  <c:v>3/20/2026</c:v>
                </c:pt>
                <c:pt idx="23">
                  <c:v>3/27/2026</c:v>
                </c:pt>
                <c:pt idx="24">
                  <c:v>4/3/2026</c:v>
                </c:pt>
                <c:pt idx="25">
                  <c:v>4/10/2026</c:v>
                </c:pt>
                <c:pt idx="26">
                  <c:v>4/17/2026</c:v>
                </c:pt>
                <c:pt idx="27">
                  <c:v>4/24/2026</c:v>
                </c:pt>
                <c:pt idx="28">
                  <c:v>5/1/2026</c:v>
                </c:pt>
                <c:pt idx="29">
                  <c:v>5/8/2026</c:v>
                </c:pt>
                <c:pt idx="30">
                  <c:v>5/15/2026</c:v>
                </c:pt>
                <c:pt idx="31">
                  <c:v>5/22/2026</c:v>
                </c:pt>
                <c:pt idx="32">
                  <c:v>05/29/2026</c:v>
                </c:pt>
                <c:pt idx="33">
                  <c:v>6/5/2026</c:v>
                </c:pt>
                <c:pt idx="34">
                  <c:v>6/12/2026</c:v>
                </c:pt>
                <c:pt idx="35">
                  <c:v>6/19/2026</c:v>
                </c:pt>
                <c:pt idx="36">
                  <c:v>6/26/2026</c:v>
                </c:pt>
              </c:strCache>
            </c:strRef>
          </c:cat>
          <c:val>
            <c:numRef>
              <c:f>NittyGrittySheet!$B$79:$AL$79</c:f>
              <c:numCache>
                <c:formatCode>General</c:formatCode>
                <c:ptCount val="37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8</c:v>
                </c:pt>
                <c:pt idx="10">
                  <c:v>10</c:v>
                </c:pt>
                <c:pt idx="11">
                  <c:v>10</c:v>
                </c:pt>
                <c:pt idx="12">
                  <c:v>12</c:v>
                </c:pt>
                <c:pt idx="13">
                  <c:v>15</c:v>
                </c:pt>
                <c:pt idx="14">
                  <c:v>15</c:v>
                </c:pt>
                <c:pt idx="15">
                  <c:v>16</c:v>
                </c:pt>
                <c:pt idx="16">
                  <c:v>16</c:v>
                </c:pt>
                <c:pt idx="17">
                  <c:v>17</c:v>
                </c:pt>
                <c:pt idx="18">
                  <c:v>19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21</c:v>
                </c:pt>
                <c:pt idx="23">
                  <c:v>21</c:v>
                </c:pt>
                <c:pt idx="24">
                  <c:v>23</c:v>
                </c:pt>
                <c:pt idx="25">
                  <c:v>22</c:v>
                </c:pt>
                <c:pt idx="26">
                  <c:v>25</c:v>
                </c:pt>
                <c:pt idx="27">
                  <c:v>24</c:v>
                </c:pt>
                <c:pt idx="28">
                  <c:v>24</c:v>
                </c:pt>
                <c:pt idx="29">
                  <c:v>24</c:v>
                </c:pt>
                <c:pt idx="30">
                  <c:v>22</c:v>
                </c:pt>
                <c:pt idx="31">
                  <c:v>19</c:v>
                </c:pt>
                <c:pt idx="32">
                  <c:v>18</c:v>
                </c:pt>
                <c:pt idx="33">
                  <c:v>18</c:v>
                </c:pt>
                <c:pt idx="34">
                  <c:v>9</c:v>
                </c:pt>
                <c:pt idx="35">
                  <c:v>9</c:v>
                </c:pt>
                <c:pt idx="36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F1-4015-826B-1E370DC20998}"/>
            </c:ext>
          </c:extLst>
        </c:ser>
        <c:ser>
          <c:idx val="3"/>
          <c:order val="3"/>
          <c:tx>
            <c:strRef>
              <c:f>NittyGrittySheet!$A$81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NittyGrittySheet!$B$77:$AL$77</c:f>
              <c:strCache>
                <c:ptCount val="37"/>
                <c:pt idx="0">
                  <c:v>10/13/2025</c:v>
                </c:pt>
                <c:pt idx="1">
                  <c:v>10/17/2025</c:v>
                </c:pt>
                <c:pt idx="2">
                  <c:v>10/24/2025</c:v>
                </c:pt>
                <c:pt idx="3">
                  <c:v>10/31/2025</c:v>
                </c:pt>
                <c:pt idx="4">
                  <c:v>11/7/2025</c:v>
                </c:pt>
                <c:pt idx="5">
                  <c:v>11/14/2025</c:v>
                </c:pt>
                <c:pt idx="6">
                  <c:v>11/21/2025</c:v>
                </c:pt>
                <c:pt idx="7">
                  <c:v>11/28/2025</c:v>
                </c:pt>
                <c:pt idx="8">
                  <c:v>12/5/2025</c:v>
                </c:pt>
                <c:pt idx="9">
                  <c:v>12/12/2025</c:v>
                </c:pt>
                <c:pt idx="10">
                  <c:v>12/19/2025</c:v>
                </c:pt>
                <c:pt idx="11">
                  <c:v>12/26/2025</c:v>
                </c:pt>
                <c:pt idx="12">
                  <c:v>1/2/2026</c:v>
                </c:pt>
                <c:pt idx="13">
                  <c:v>1/9/2026</c:v>
                </c:pt>
                <c:pt idx="14">
                  <c:v>1/16/2026</c:v>
                </c:pt>
                <c:pt idx="15">
                  <c:v>1/23/2026</c:v>
                </c:pt>
                <c:pt idx="16">
                  <c:v>1/30/2026</c:v>
                </c:pt>
                <c:pt idx="17">
                  <c:v>2/6/2026</c:v>
                </c:pt>
                <c:pt idx="18">
                  <c:v>2/13/2026</c:v>
                </c:pt>
                <c:pt idx="19">
                  <c:v>2/20/2026</c:v>
                </c:pt>
                <c:pt idx="20">
                  <c:v>2/27/2026</c:v>
                </c:pt>
                <c:pt idx="21">
                  <c:v>3/13/2026</c:v>
                </c:pt>
                <c:pt idx="22">
                  <c:v>3/20/2026</c:v>
                </c:pt>
                <c:pt idx="23">
                  <c:v>3/27/2026</c:v>
                </c:pt>
                <c:pt idx="24">
                  <c:v>4/3/2026</c:v>
                </c:pt>
                <c:pt idx="25">
                  <c:v>4/10/2026</c:v>
                </c:pt>
                <c:pt idx="26">
                  <c:v>4/17/2026</c:v>
                </c:pt>
                <c:pt idx="27">
                  <c:v>4/24/2026</c:v>
                </c:pt>
                <c:pt idx="28">
                  <c:v>5/1/2026</c:v>
                </c:pt>
                <c:pt idx="29">
                  <c:v>5/8/2026</c:v>
                </c:pt>
                <c:pt idx="30">
                  <c:v>5/15/2026</c:v>
                </c:pt>
                <c:pt idx="31">
                  <c:v>5/22/2026</c:v>
                </c:pt>
                <c:pt idx="32">
                  <c:v>05/29/2026</c:v>
                </c:pt>
                <c:pt idx="33">
                  <c:v>6/5/2026</c:v>
                </c:pt>
                <c:pt idx="34">
                  <c:v>6/12/2026</c:v>
                </c:pt>
                <c:pt idx="35">
                  <c:v>6/19/2026</c:v>
                </c:pt>
                <c:pt idx="36">
                  <c:v>6/26/2026</c:v>
                </c:pt>
              </c:strCache>
            </c:strRef>
          </c:cat>
          <c:val>
            <c:numRef>
              <c:f>NittyGrittySheet!$B$81:$AL$81</c:f>
              <c:numCache>
                <c:formatCode>General</c:formatCode>
                <c:ptCount val="37"/>
                <c:pt idx="0">
                  <c:v>48</c:v>
                </c:pt>
                <c:pt idx="1">
                  <c:v>48</c:v>
                </c:pt>
                <c:pt idx="2">
                  <c:v>48</c:v>
                </c:pt>
                <c:pt idx="3">
                  <c:v>48</c:v>
                </c:pt>
                <c:pt idx="4">
                  <c:v>48</c:v>
                </c:pt>
                <c:pt idx="5">
                  <c:v>48</c:v>
                </c:pt>
                <c:pt idx="6">
                  <c:v>48</c:v>
                </c:pt>
                <c:pt idx="7">
                  <c:v>48</c:v>
                </c:pt>
                <c:pt idx="8">
                  <c:v>49</c:v>
                </c:pt>
                <c:pt idx="9">
                  <c:v>49</c:v>
                </c:pt>
                <c:pt idx="10">
                  <c:v>47</c:v>
                </c:pt>
                <c:pt idx="11">
                  <c:v>47</c:v>
                </c:pt>
                <c:pt idx="12">
                  <c:v>44</c:v>
                </c:pt>
                <c:pt idx="13">
                  <c:v>39</c:v>
                </c:pt>
                <c:pt idx="14">
                  <c:v>38</c:v>
                </c:pt>
                <c:pt idx="15">
                  <c:v>37</c:v>
                </c:pt>
                <c:pt idx="16">
                  <c:v>36</c:v>
                </c:pt>
                <c:pt idx="17">
                  <c:v>35</c:v>
                </c:pt>
                <c:pt idx="18">
                  <c:v>32</c:v>
                </c:pt>
                <c:pt idx="19">
                  <c:v>31</c:v>
                </c:pt>
                <c:pt idx="20">
                  <c:v>31</c:v>
                </c:pt>
                <c:pt idx="21">
                  <c:v>31</c:v>
                </c:pt>
                <c:pt idx="22">
                  <c:v>30</c:v>
                </c:pt>
                <c:pt idx="23">
                  <c:v>29</c:v>
                </c:pt>
                <c:pt idx="24">
                  <c:v>26</c:v>
                </c:pt>
                <c:pt idx="25">
                  <c:v>23</c:v>
                </c:pt>
                <c:pt idx="26">
                  <c:v>20</c:v>
                </c:pt>
                <c:pt idx="27">
                  <c:v>21</c:v>
                </c:pt>
                <c:pt idx="28">
                  <c:v>21</c:v>
                </c:pt>
                <c:pt idx="29">
                  <c:v>21</c:v>
                </c:pt>
                <c:pt idx="30">
                  <c:v>20</c:v>
                </c:pt>
                <c:pt idx="31">
                  <c:v>20</c:v>
                </c:pt>
                <c:pt idx="32">
                  <c:v>19</c:v>
                </c:pt>
                <c:pt idx="33">
                  <c:v>19</c:v>
                </c:pt>
                <c:pt idx="34">
                  <c:v>12</c:v>
                </c:pt>
                <c:pt idx="35">
                  <c:v>12</c:v>
                </c:pt>
                <c:pt idx="36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5D-436A-ACA1-D4D3EC7A36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NittyGrittySheet!$A$80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NittyGrittySheet!$B$77:$AL$77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NittyGrittySheet!$B$80:$AL$80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1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965D-436A-ACA1-D4D3EC7A362D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NittyGrittySheet!$A$82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NittyGrittySheet!$B$77:$AL$77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NittyGrittySheet!$B$82:$AL$82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2</c:v>
                      </c:pt>
                      <c:pt idx="17">
                        <c:v>2</c:v>
                      </c:pt>
                      <c:pt idx="18">
                        <c:v>2</c:v>
                      </c:pt>
                      <c:pt idx="19">
                        <c:v>2</c:v>
                      </c:pt>
                      <c:pt idx="20">
                        <c:v>2</c:v>
                      </c:pt>
                      <c:pt idx="21">
                        <c:v>2</c:v>
                      </c:pt>
                      <c:pt idx="22">
                        <c:v>2</c:v>
                      </c:pt>
                      <c:pt idx="23">
                        <c:v>2</c:v>
                      </c:pt>
                      <c:pt idx="24">
                        <c:v>2</c:v>
                      </c:pt>
                      <c:pt idx="25">
                        <c:v>2</c:v>
                      </c:pt>
                      <c:pt idx="26">
                        <c:v>2</c:v>
                      </c:pt>
                      <c:pt idx="27">
                        <c:v>2</c:v>
                      </c:pt>
                      <c:pt idx="28">
                        <c:v>2</c:v>
                      </c:pt>
                      <c:pt idx="29">
                        <c:v>2</c:v>
                      </c:pt>
                      <c:pt idx="30">
                        <c:v>2</c:v>
                      </c:pt>
                      <c:pt idx="31">
                        <c:v>2</c:v>
                      </c:pt>
                      <c:pt idx="32">
                        <c:v>2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965D-436A-ACA1-D4D3EC7A362D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NittyGrittySheet!$A$83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NittyGrittySheet!$B$77:$AL$77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NittyGrittySheet!$B$83:$AL$83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65D-436A-ACA1-D4D3EC7A362D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NittyGrittySheet!$A$84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NittyGrittySheet!$B$77:$AL$77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NittyGrittySheet!$B$84:$AL$84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3</c:v>
                      </c:pt>
                      <c:pt idx="35">
                        <c:v>3</c:v>
                      </c:pt>
                      <c:pt idx="36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65D-436A-ACA1-D4D3EC7A362D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NittyGrittySheet!$A$85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NittyGrittySheet!$B$77:$AL$77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NittyGrittySheet!$B$85:$AL$85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2</c:v>
                      </c:pt>
                      <c:pt idx="32">
                        <c:v>2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965D-436A-ACA1-D4D3EC7A362D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NittyGrittySheet!$A$86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NittyGrittySheet!$B$77:$AL$77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NittyGrittySheet!$B$86:$AL$86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965D-436A-ACA1-D4D3EC7A362D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NittyGrittySheet!$A$87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NittyGrittySheet!$B$77:$AL$77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NittyGrittySheet!$B$87:$AL$87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20</c:v>
                      </c:pt>
                      <c:pt idx="1">
                        <c:v>19</c:v>
                      </c:pt>
                      <c:pt idx="2">
                        <c:v>19</c:v>
                      </c:pt>
                      <c:pt idx="3">
                        <c:v>19</c:v>
                      </c:pt>
                      <c:pt idx="4">
                        <c:v>18</c:v>
                      </c:pt>
                      <c:pt idx="5">
                        <c:v>18</c:v>
                      </c:pt>
                      <c:pt idx="6">
                        <c:v>20</c:v>
                      </c:pt>
                      <c:pt idx="7">
                        <c:v>20</c:v>
                      </c:pt>
                      <c:pt idx="8">
                        <c:v>19</c:v>
                      </c:pt>
                      <c:pt idx="9">
                        <c:v>19</c:v>
                      </c:pt>
                      <c:pt idx="10">
                        <c:v>19</c:v>
                      </c:pt>
                      <c:pt idx="11">
                        <c:v>19</c:v>
                      </c:pt>
                      <c:pt idx="12">
                        <c:v>19</c:v>
                      </c:pt>
                      <c:pt idx="13">
                        <c:v>19</c:v>
                      </c:pt>
                      <c:pt idx="14">
                        <c:v>19</c:v>
                      </c:pt>
                      <c:pt idx="15">
                        <c:v>19</c:v>
                      </c:pt>
                      <c:pt idx="16">
                        <c:v>19</c:v>
                      </c:pt>
                      <c:pt idx="17">
                        <c:v>19</c:v>
                      </c:pt>
                      <c:pt idx="18">
                        <c:v>19</c:v>
                      </c:pt>
                      <c:pt idx="19">
                        <c:v>19</c:v>
                      </c:pt>
                      <c:pt idx="20">
                        <c:v>19</c:v>
                      </c:pt>
                      <c:pt idx="21">
                        <c:v>19</c:v>
                      </c:pt>
                      <c:pt idx="22">
                        <c:v>19</c:v>
                      </c:pt>
                      <c:pt idx="23">
                        <c:v>19</c:v>
                      </c:pt>
                      <c:pt idx="24">
                        <c:v>19</c:v>
                      </c:pt>
                      <c:pt idx="25">
                        <c:v>21</c:v>
                      </c:pt>
                      <c:pt idx="26">
                        <c:v>21</c:v>
                      </c:pt>
                      <c:pt idx="27">
                        <c:v>22</c:v>
                      </c:pt>
                      <c:pt idx="28">
                        <c:v>22</c:v>
                      </c:pt>
                      <c:pt idx="29">
                        <c:v>22</c:v>
                      </c:pt>
                      <c:pt idx="30">
                        <c:v>24</c:v>
                      </c:pt>
                      <c:pt idx="31">
                        <c:v>25</c:v>
                      </c:pt>
                      <c:pt idx="32">
                        <c:v>26</c:v>
                      </c:pt>
                      <c:pt idx="33">
                        <c:v>26</c:v>
                      </c:pt>
                      <c:pt idx="34">
                        <c:v>32</c:v>
                      </c:pt>
                      <c:pt idx="35">
                        <c:v>32</c:v>
                      </c:pt>
                      <c:pt idx="36">
                        <c:v>33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965D-436A-ACA1-D4D3EC7A362D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NittyGrittySheet!$A$88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NittyGrittySheet!$B$77:$AL$77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NittyGrittySheet!$B$88:$AL$88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83</c:v>
                      </c:pt>
                      <c:pt idx="1">
                        <c:v>83</c:v>
                      </c:pt>
                      <c:pt idx="2">
                        <c:v>83</c:v>
                      </c:pt>
                      <c:pt idx="3">
                        <c:v>83</c:v>
                      </c:pt>
                      <c:pt idx="4">
                        <c:v>83</c:v>
                      </c:pt>
                      <c:pt idx="5">
                        <c:v>83</c:v>
                      </c:pt>
                      <c:pt idx="6">
                        <c:v>85</c:v>
                      </c:pt>
                      <c:pt idx="7">
                        <c:v>85</c:v>
                      </c:pt>
                      <c:pt idx="8">
                        <c:v>87</c:v>
                      </c:pt>
                      <c:pt idx="9">
                        <c:v>89</c:v>
                      </c:pt>
                      <c:pt idx="10">
                        <c:v>89</c:v>
                      </c:pt>
                      <c:pt idx="11">
                        <c:v>89</c:v>
                      </c:pt>
                      <c:pt idx="12">
                        <c:v>89</c:v>
                      </c:pt>
                      <c:pt idx="13">
                        <c:v>89</c:v>
                      </c:pt>
                      <c:pt idx="14">
                        <c:v>89</c:v>
                      </c:pt>
                      <c:pt idx="15">
                        <c:v>89</c:v>
                      </c:pt>
                      <c:pt idx="16">
                        <c:v>89</c:v>
                      </c:pt>
                      <c:pt idx="17">
                        <c:v>89</c:v>
                      </c:pt>
                      <c:pt idx="18">
                        <c:v>88</c:v>
                      </c:pt>
                      <c:pt idx="19">
                        <c:v>88</c:v>
                      </c:pt>
                      <c:pt idx="20">
                        <c:v>88</c:v>
                      </c:pt>
                      <c:pt idx="21">
                        <c:v>88</c:v>
                      </c:pt>
                      <c:pt idx="22">
                        <c:v>88</c:v>
                      </c:pt>
                      <c:pt idx="23">
                        <c:v>88</c:v>
                      </c:pt>
                      <c:pt idx="24">
                        <c:v>88</c:v>
                      </c:pt>
                      <c:pt idx="25">
                        <c:v>87</c:v>
                      </c:pt>
                      <c:pt idx="26">
                        <c:v>88</c:v>
                      </c:pt>
                      <c:pt idx="27">
                        <c:v>88</c:v>
                      </c:pt>
                      <c:pt idx="28">
                        <c:v>88</c:v>
                      </c:pt>
                      <c:pt idx="29">
                        <c:v>88</c:v>
                      </c:pt>
                      <c:pt idx="30">
                        <c:v>88</c:v>
                      </c:pt>
                      <c:pt idx="31">
                        <c:v>88</c:v>
                      </c:pt>
                      <c:pt idx="32">
                        <c:v>88</c:v>
                      </c:pt>
                      <c:pt idx="33">
                        <c:v>87</c:v>
                      </c:pt>
                      <c:pt idx="34">
                        <c:v>87</c:v>
                      </c:pt>
                      <c:pt idx="35">
                        <c:v>87</c:v>
                      </c:pt>
                      <c:pt idx="36">
                        <c:v>87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965D-436A-ACA1-D4D3EC7A362D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% Placed 5 Year Summary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BSFin!$O$24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BSFin!$M$25:$M$38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BSFin!$O$25:$O$38</c:f>
              <c:numCache>
                <c:formatCode>0.00%</c:formatCode>
                <c:ptCount val="14"/>
                <c:pt idx="0">
                  <c:v>7.8787878787878782E-2</c:v>
                </c:pt>
                <c:pt idx="1">
                  <c:v>0.14545454545454545</c:v>
                </c:pt>
                <c:pt idx="2">
                  <c:v>0.38787878787878788</c:v>
                </c:pt>
                <c:pt idx="3">
                  <c:v>0.45454545454545453</c:v>
                </c:pt>
                <c:pt idx="4">
                  <c:v>0.50303030303030305</c:v>
                </c:pt>
                <c:pt idx="5">
                  <c:v>0.5757575757575758</c:v>
                </c:pt>
                <c:pt idx="6">
                  <c:v>0.61212121212121207</c:v>
                </c:pt>
                <c:pt idx="7">
                  <c:v>0.68484848484848482</c:v>
                </c:pt>
                <c:pt idx="8">
                  <c:v>0.80606060606060603</c:v>
                </c:pt>
                <c:pt idx="9">
                  <c:v>0.87878787878787878</c:v>
                </c:pt>
                <c:pt idx="10">
                  <c:v>0.89090909090909087</c:v>
                </c:pt>
                <c:pt idx="11">
                  <c:v>0.96363636363636362</c:v>
                </c:pt>
                <c:pt idx="12">
                  <c:v>0.96363636363636362</c:v>
                </c:pt>
                <c:pt idx="13">
                  <c:v>0.97575757575757571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DC-4965-9B49-96332123885C}"/>
            </c:ext>
          </c:extLst>
        </c:ser>
        <c:ser>
          <c:idx val="2"/>
          <c:order val="1"/>
          <c:tx>
            <c:strRef>
              <c:f>BSFin!$P$24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BSFin!$M$25:$M$38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BSFin!$P$25:$P$38</c:f>
              <c:numCache>
                <c:formatCode>0.00%</c:formatCode>
                <c:ptCount val="14"/>
                <c:pt idx="0">
                  <c:v>6.4705882352941183E-2</c:v>
                </c:pt>
                <c:pt idx="1">
                  <c:v>0.10588235294117647</c:v>
                </c:pt>
                <c:pt idx="2">
                  <c:v>0.31764705882352939</c:v>
                </c:pt>
                <c:pt idx="3">
                  <c:v>0.35882352941176471</c:v>
                </c:pt>
                <c:pt idx="4">
                  <c:v>0.42352941176470588</c:v>
                </c:pt>
                <c:pt idx="5">
                  <c:v>0.54705882352941182</c:v>
                </c:pt>
                <c:pt idx="6">
                  <c:v>0.62941176470588234</c:v>
                </c:pt>
                <c:pt idx="7">
                  <c:v>0.71176470588235297</c:v>
                </c:pt>
                <c:pt idx="8">
                  <c:v>0.77058823529411768</c:v>
                </c:pt>
                <c:pt idx="9">
                  <c:v>0.8294117647058824</c:v>
                </c:pt>
                <c:pt idx="10">
                  <c:v>0.88823529411764701</c:v>
                </c:pt>
                <c:pt idx="11">
                  <c:v>0.95882352941176474</c:v>
                </c:pt>
                <c:pt idx="12">
                  <c:v>0.97647058823529409</c:v>
                </c:pt>
                <c:pt idx="13">
                  <c:v>0.97647058823529409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C1DC-4965-9B49-96332123885C}"/>
            </c:ext>
          </c:extLst>
        </c:ser>
        <c:ser>
          <c:idx val="3"/>
          <c:order val="2"/>
          <c:tx>
            <c:strRef>
              <c:f>BSFin!$Q$24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BSFin!$M$25:$M$38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BSFin!$Q$25:$Q$38</c:f>
              <c:numCache>
                <c:formatCode>0.00%</c:formatCode>
                <c:ptCount val="14"/>
                <c:pt idx="0">
                  <c:v>0.10975609756097561</c:v>
                </c:pt>
                <c:pt idx="1">
                  <c:v>0.14634146341463414</c:v>
                </c:pt>
                <c:pt idx="2">
                  <c:v>0.28048780487804881</c:v>
                </c:pt>
                <c:pt idx="3">
                  <c:v>0.53048780487804881</c:v>
                </c:pt>
                <c:pt idx="4">
                  <c:v>0.54268292682926833</c:v>
                </c:pt>
                <c:pt idx="5">
                  <c:v>0.58536585365853655</c:v>
                </c:pt>
                <c:pt idx="6">
                  <c:v>0.67682926829268297</c:v>
                </c:pt>
                <c:pt idx="7">
                  <c:v>0.75609756097560976</c:v>
                </c:pt>
                <c:pt idx="8">
                  <c:v>0.80487804878048785</c:v>
                </c:pt>
                <c:pt idx="9">
                  <c:v>0.83536585365853655</c:v>
                </c:pt>
                <c:pt idx="10">
                  <c:v>0.89634146341463417</c:v>
                </c:pt>
                <c:pt idx="11">
                  <c:v>0.95731707317073167</c:v>
                </c:pt>
                <c:pt idx="12">
                  <c:v>0.96951219512195119</c:v>
                </c:pt>
                <c:pt idx="13">
                  <c:v>0.98170731707317072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C1DC-4965-9B49-96332123885C}"/>
            </c:ext>
          </c:extLst>
        </c:ser>
        <c:ser>
          <c:idx val="4"/>
          <c:order val="3"/>
          <c:tx>
            <c:strRef>
              <c:f>BSFin!$R$24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BSFin!$M$25:$M$38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BSFin!$R$25:$R$38</c:f>
              <c:numCache>
                <c:formatCode>0.00%</c:formatCode>
                <c:ptCount val="14"/>
                <c:pt idx="0">
                  <c:v>0.16770186335403728</c:v>
                </c:pt>
                <c:pt idx="1">
                  <c:v>0.2608695652173913</c:v>
                </c:pt>
                <c:pt idx="2">
                  <c:v>0.36645962732919257</c:v>
                </c:pt>
                <c:pt idx="3">
                  <c:v>0.43478260869565216</c:v>
                </c:pt>
                <c:pt idx="4">
                  <c:v>0.48447204968944102</c:v>
                </c:pt>
                <c:pt idx="5">
                  <c:v>0.52795031055900621</c:v>
                </c:pt>
                <c:pt idx="6">
                  <c:v>0.70807453416149069</c:v>
                </c:pt>
                <c:pt idx="7">
                  <c:v>0.81366459627329191</c:v>
                </c:pt>
                <c:pt idx="8">
                  <c:v>0.86956521739130432</c:v>
                </c:pt>
                <c:pt idx="9">
                  <c:v>0.90683229813664601</c:v>
                </c:pt>
                <c:pt idx="10">
                  <c:v>0.93788819875776397</c:v>
                </c:pt>
                <c:pt idx="11">
                  <c:v>0.97515527950310554</c:v>
                </c:pt>
                <c:pt idx="12">
                  <c:v>0.97515527950310554</c:v>
                </c:pt>
                <c:pt idx="13">
                  <c:v>0.97515527950310554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C1DC-4965-9B49-96332123885C}"/>
            </c:ext>
          </c:extLst>
        </c:ser>
        <c:ser>
          <c:idx val="5"/>
          <c:order val="4"/>
          <c:tx>
            <c:strRef>
              <c:f>BSFin!$S$24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BSFin!$M$25:$M$38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BSFin!$S$25:$S$38</c:f>
              <c:numCache>
                <c:formatCode>0.00%</c:formatCode>
                <c:ptCount val="14"/>
                <c:pt idx="0">
                  <c:v>0.2013888888888889</c:v>
                </c:pt>
                <c:pt idx="1">
                  <c:v>0.25694444444444442</c:v>
                </c:pt>
                <c:pt idx="2">
                  <c:v>0.27083333333333331</c:v>
                </c:pt>
                <c:pt idx="3">
                  <c:v>0.44444444444444442</c:v>
                </c:pt>
                <c:pt idx="4">
                  <c:v>0.52083333333333337</c:v>
                </c:pt>
                <c:pt idx="5">
                  <c:v>0.53472222222222221</c:v>
                </c:pt>
                <c:pt idx="6">
                  <c:v>0.55555555555555558</c:v>
                </c:pt>
                <c:pt idx="7">
                  <c:v>0.75</c:v>
                </c:pt>
                <c:pt idx="8">
                  <c:v>0.83333333333333337</c:v>
                </c:pt>
                <c:pt idx="9">
                  <c:v>0.85416666666666663</c:v>
                </c:pt>
                <c:pt idx="10">
                  <c:v>0.875</c:v>
                </c:pt>
                <c:pt idx="11">
                  <c:v>0.89583333333333337</c:v>
                </c:pt>
                <c:pt idx="12">
                  <c:v>0.95138888888888884</c:v>
                </c:pt>
                <c:pt idx="13">
                  <c:v>0.96527777777777779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C1DC-4965-9B49-96332123885C}"/>
            </c:ext>
          </c:extLst>
        </c:ser>
        <c:ser>
          <c:idx val="0"/>
          <c:order val="5"/>
          <c:tx>
            <c:strRef>
              <c:f>BSFin!$N$24</c:f>
              <c:strCache>
                <c:ptCount val="1"/>
                <c:pt idx="0">
                  <c:v>2026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BSFin!$M$25:$M$38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BSFin!$N$25:$N$38</c:f>
              <c:numCache>
                <c:formatCode>0.00%</c:formatCode>
                <c:ptCount val="14"/>
                <c:pt idx="2">
                  <c:v>0.2989</c:v>
                </c:pt>
                <c:pt idx="3">
                  <c:v>0.42509999999999998</c:v>
                </c:pt>
                <c:pt idx="4">
                  <c:v>0.53649999999999998</c:v>
                </c:pt>
                <c:pt idx="5">
                  <c:v>0.62450000000000006</c:v>
                </c:pt>
                <c:pt idx="6">
                  <c:v>0.69330000000000003</c:v>
                </c:pt>
                <c:pt idx="7">
                  <c:v>0.7944</c:v>
                </c:pt>
                <c:pt idx="8">
                  <c:v>0.88349999999999995</c:v>
                </c:pt>
                <c:pt idx="9">
                  <c:v>0.9104000000000001</c:v>
                </c:pt>
                <c:pt idx="10">
                  <c:v>0.93230000000000002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1DC-4965-9B49-9633212388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Placement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NittyGrittySheet!$A$92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NittyGrittySheet!$B$91:$AL$91</c:f>
              <c:strCache>
                <c:ptCount val="37"/>
                <c:pt idx="0">
                  <c:v>10/13/2025</c:v>
                </c:pt>
                <c:pt idx="1">
                  <c:v>10/17/2025</c:v>
                </c:pt>
                <c:pt idx="2">
                  <c:v>10/24/2025</c:v>
                </c:pt>
                <c:pt idx="3">
                  <c:v>10/31/2025</c:v>
                </c:pt>
                <c:pt idx="4">
                  <c:v>11/7/2025</c:v>
                </c:pt>
                <c:pt idx="5">
                  <c:v>11/14/2025</c:v>
                </c:pt>
                <c:pt idx="6">
                  <c:v>11/21/2025</c:v>
                </c:pt>
                <c:pt idx="7">
                  <c:v>11/28/2025</c:v>
                </c:pt>
                <c:pt idx="8">
                  <c:v>12/5/2025</c:v>
                </c:pt>
                <c:pt idx="9">
                  <c:v>12/12/2025</c:v>
                </c:pt>
                <c:pt idx="10">
                  <c:v>12/19/2025</c:v>
                </c:pt>
                <c:pt idx="11">
                  <c:v>12/26/2025</c:v>
                </c:pt>
                <c:pt idx="12">
                  <c:v>1/2/2026</c:v>
                </c:pt>
                <c:pt idx="13">
                  <c:v>1/9/2026</c:v>
                </c:pt>
                <c:pt idx="14">
                  <c:v>1/16/2026</c:v>
                </c:pt>
                <c:pt idx="15">
                  <c:v>1/23/2026</c:v>
                </c:pt>
                <c:pt idx="16">
                  <c:v>1/30/2026</c:v>
                </c:pt>
                <c:pt idx="17">
                  <c:v>2/6/2026</c:v>
                </c:pt>
                <c:pt idx="18">
                  <c:v>2/13/2026</c:v>
                </c:pt>
                <c:pt idx="19">
                  <c:v>2/20/2026</c:v>
                </c:pt>
                <c:pt idx="20">
                  <c:v>2/27/2026</c:v>
                </c:pt>
                <c:pt idx="21">
                  <c:v>3/13/2026</c:v>
                </c:pt>
                <c:pt idx="22">
                  <c:v>3/20/2026</c:v>
                </c:pt>
                <c:pt idx="23">
                  <c:v>3/27/2026</c:v>
                </c:pt>
                <c:pt idx="24">
                  <c:v>4/3/2026</c:v>
                </c:pt>
                <c:pt idx="25">
                  <c:v>4/10/2026</c:v>
                </c:pt>
                <c:pt idx="26">
                  <c:v>4/17/2026</c:v>
                </c:pt>
                <c:pt idx="27">
                  <c:v>4/24/2026</c:v>
                </c:pt>
                <c:pt idx="28">
                  <c:v>5/1/2026</c:v>
                </c:pt>
                <c:pt idx="29">
                  <c:v>5/8/2026</c:v>
                </c:pt>
                <c:pt idx="30">
                  <c:v>5/15/2026</c:v>
                </c:pt>
                <c:pt idx="31">
                  <c:v>5/22/2026</c:v>
                </c:pt>
                <c:pt idx="32">
                  <c:v>05/29/2026</c:v>
                </c:pt>
                <c:pt idx="33">
                  <c:v>6/5/2026</c:v>
                </c:pt>
                <c:pt idx="34">
                  <c:v>6/12/2026</c:v>
                </c:pt>
                <c:pt idx="35">
                  <c:v>6/19/2026</c:v>
                </c:pt>
                <c:pt idx="36">
                  <c:v>6/26/2026</c:v>
                </c:pt>
              </c:strCache>
            </c:strRef>
          </c:cat>
          <c:val>
            <c:numRef>
              <c:f>NittyGrittySheet!$B$92:$AL$92</c:f>
              <c:numCache>
                <c:formatCode>0.00%</c:formatCode>
                <c:ptCount val="37"/>
                <c:pt idx="0">
                  <c:v>0.23899999999999999</c:v>
                </c:pt>
                <c:pt idx="1">
                  <c:v>0.23899999999999999</c:v>
                </c:pt>
                <c:pt idx="2">
                  <c:v>0.24349999999999999</c:v>
                </c:pt>
                <c:pt idx="3">
                  <c:v>0.2989</c:v>
                </c:pt>
                <c:pt idx="4">
                  <c:v>0.31</c:v>
                </c:pt>
                <c:pt idx="5">
                  <c:v>0.40489999999999998</c:v>
                </c:pt>
                <c:pt idx="6">
                  <c:v>0.42509999999999998</c:v>
                </c:pt>
                <c:pt idx="7">
                  <c:v>0.42509999999999998</c:v>
                </c:pt>
                <c:pt idx="8">
                  <c:v>0.46089999999999998</c:v>
                </c:pt>
                <c:pt idx="9">
                  <c:v>0.53220000000000001</c:v>
                </c:pt>
                <c:pt idx="10">
                  <c:v>0.53649999999999998</c:v>
                </c:pt>
                <c:pt idx="11">
                  <c:v>0.53649999999999998</c:v>
                </c:pt>
                <c:pt idx="12">
                  <c:v>0.55020000000000002</c:v>
                </c:pt>
                <c:pt idx="13">
                  <c:v>0.56330000000000002</c:v>
                </c:pt>
                <c:pt idx="14">
                  <c:v>0.57389999999999997</c:v>
                </c:pt>
                <c:pt idx="15">
                  <c:v>0.57830000000000004</c:v>
                </c:pt>
                <c:pt idx="16">
                  <c:v>0.61739999999999995</c:v>
                </c:pt>
                <c:pt idx="17">
                  <c:v>0.63600000000000001</c:v>
                </c:pt>
                <c:pt idx="18">
                  <c:v>0.66069999999999995</c:v>
                </c:pt>
                <c:pt idx="19">
                  <c:v>0.67569999999999997</c:v>
                </c:pt>
                <c:pt idx="20">
                  <c:v>0.68330000000000002</c:v>
                </c:pt>
                <c:pt idx="21">
                  <c:v>0.73970000000000002</c:v>
                </c:pt>
                <c:pt idx="22">
                  <c:v>0.78600000000000003</c:v>
                </c:pt>
                <c:pt idx="23">
                  <c:v>0.7944</c:v>
                </c:pt>
                <c:pt idx="24">
                  <c:v>0.80840000000000001</c:v>
                </c:pt>
                <c:pt idx="25">
                  <c:v>0.82709999999999995</c:v>
                </c:pt>
                <c:pt idx="26">
                  <c:v>0.84689999999999999</c:v>
                </c:pt>
                <c:pt idx="27">
                  <c:v>0.88349999999999995</c:v>
                </c:pt>
                <c:pt idx="28">
                  <c:v>0.88349999999999995</c:v>
                </c:pt>
                <c:pt idx="29">
                  <c:v>0.90200000000000002</c:v>
                </c:pt>
                <c:pt idx="30">
                  <c:v>0.90639999999999998</c:v>
                </c:pt>
                <c:pt idx="31">
                  <c:v>0.90639999999999998</c:v>
                </c:pt>
                <c:pt idx="32">
                  <c:v>0.9104000000000001</c:v>
                </c:pt>
                <c:pt idx="33">
                  <c:v>0.92459999999999998</c:v>
                </c:pt>
                <c:pt idx="34">
                  <c:v>0.92930000000000001</c:v>
                </c:pt>
                <c:pt idx="35">
                  <c:v>0.93189999999999995</c:v>
                </c:pt>
                <c:pt idx="36">
                  <c:v>0.93230000000000002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F9-4B14-B057-44498E428E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</a:t>
            </a:r>
            <a:r>
              <a:rPr lang="en-US" baseline="0"/>
              <a:t> Search Status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NittyGrittySheet!$A$95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NittyGrittySheet!$B$94:$AL$94</c:f>
              <c:strCache>
                <c:ptCount val="37"/>
                <c:pt idx="0">
                  <c:v>10/13/2025</c:v>
                </c:pt>
                <c:pt idx="1">
                  <c:v>10/17/2025</c:v>
                </c:pt>
                <c:pt idx="2">
                  <c:v>10/24/2025</c:v>
                </c:pt>
                <c:pt idx="3">
                  <c:v>10/31/2025</c:v>
                </c:pt>
                <c:pt idx="4">
                  <c:v>11/7/2025</c:v>
                </c:pt>
                <c:pt idx="5">
                  <c:v>11/14/2025</c:v>
                </c:pt>
                <c:pt idx="6">
                  <c:v>11/21/2025</c:v>
                </c:pt>
                <c:pt idx="7">
                  <c:v>11/28/2025</c:v>
                </c:pt>
                <c:pt idx="8">
                  <c:v>12/5/2025</c:v>
                </c:pt>
                <c:pt idx="9">
                  <c:v>12/12/2025</c:v>
                </c:pt>
                <c:pt idx="10">
                  <c:v>12/19/2025</c:v>
                </c:pt>
                <c:pt idx="11">
                  <c:v>12/26/2025</c:v>
                </c:pt>
                <c:pt idx="12">
                  <c:v>1/2/2026</c:v>
                </c:pt>
                <c:pt idx="13">
                  <c:v>1/9/2026</c:v>
                </c:pt>
                <c:pt idx="14">
                  <c:v>1/16/2026</c:v>
                </c:pt>
                <c:pt idx="15">
                  <c:v>1/23/2026</c:v>
                </c:pt>
                <c:pt idx="16">
                  <c:v>1/30/2026</c:v>
                </c:pt>
                <c:pt idx="17">
                  <c:v>2/6/2026</c:v>
                </c:pt>
                <c:pt idx="18">
                  <c:v>2/13/2026</c:v>
                </c:pt>
                <c:pt idx="19">
                  <c:v>2/20/2026</c:v>
                </c:pt>
                <c:pt idx="20">
                  <c:v>2/27/2026</c:v>
                </c:pt>
                <c:pt idx="21">
                  <c:v>3/13/2026</c:v>
                </c:pt>
                <c:pt idx="22">
                  <c:v>3/20/2026</c:v>
                </c:pt>
                <c:pt idx="23">
                  <c:v>3/27/2026</c:v>
                </c:pt>
                <c:pt idx="24">
                  <c:v>4/3/2026</c:v>
                </c:pt>
                <c:pt idx="25">
                  <c:v>4/10/2026</c:v>
                </c:pt>
                <c:pt idx="26">
                  <c:v>4/17/2026</c:v>
                </c:pt>
                <c:pt idx="27">
                  <c:v>4/24/2026</c:v>
                </c:pt>
                <c:pt idx="28">
                  <c:v>5/1/2026</c:v>
                </c:pt>
                <c:pt idx="29">
                  <c:v>5/8/2026</c:v>
                </c:pt>
                <c:pt idx="30">
                  <c:v>5/15/2026</c:v>
                </c:pt>
                <c:pt idx="31">
                  <c:v>5/22/2026</c:v>
                </c:pt>
                <c:pt idx="32">
                  <c:v>05/29/2026</c:v>
                </c:pt>
                <c:pt idx="33">
                  <c:v>6/5/2026</c:v>
                </c:pt>
                <c:pt idx="34">
                  <c:v>6/12/2026</c:v>
                </c:pt>
                <c:pt idx="35">
                  <c:v>6/19/2026</c:v>
                </c:pt>
                <c:pt idx="36">
                  <c:v>6/26/2026</c:v>
                </c:pt>
              </c:strCache>
            </c:strRef>
          </c:cat>
          <c:val>
            <c:numRef>
              <c:f>NittyGrittySheet!$B$95:$AL$95</c:f>
              <c:numCache>
                <c:formatCode>General</c:formatCode>
                <c:ptCount val="37"/>
                <c:pt idx="0">
                  <c:v>65</c:v>
                </c:pt>
                <c:pt idx="1">
                  <c:v>65</c:v>
                </c:pt>
                <c:pt idx="2">
                  <c:v>66</c:v>
                </c:pt>
                <c:pt idx="3">
                  <c:v>81</c:v>
                </c:pt>
                <c:pt idx="4">
                  <c:v>84</c:v>
                </c:pt>
                <c:pt idx="5">
                  <c:v>100</c:v>
                </c:pt>
                <c:pt idx="6">
                  <c:v>105</c:v>
                </c:pt>
                <c:pt idx="7">
                  <c:v>105</c:v>
                </c:pt>
                <c:pt idx="8">
                  <c:v>112</c:v>
                </c:pt>
                <c:pt idx="9">
                  <c:v>124</c:v>
                </c:pt>
                <c:pt idx="10">
                  <c:v>125</c:v>
                </c:pt>
                <c:pt idx="11">
                  <c:v>125</c:v>
                </c:pt>
                <c:pt idx="12">
                  <c:v>126</c:v>
                </c:pt>
                <c:pt idx="13">
                  <c:v>129</c:v>
                </c:pt>
                <c:pt idx="14">
                  <c:v>132</c:v>
                </c:pt>
                <c:pt idx="15">
                  <c:v>133</c:v>
                </c:pt>
                <c:pt idx="16">
                  <c:v>142</c:v>
                </c:pt>
                <c:pt idx="17">
                  <c:v>145</c:v>
                </c:pt>
                <c:pt idx="18">
                  <c:v>148</c:v>
                </c:pt>
                <c:pt idx="19">
                  <c:v>150</c:v>
                </c:pt>
                <c:pt idx="20">
                  <c:v>151</c:v>
                </c:pt>
                <c:pt idx="21">
                  <c:v>162</c:v>
                </c:pt>
                <c:pt idx="22">
                  <c:v>169</c:v>
                </c:pt>
                <c:pt idx="23">
                  <c:v>170</c:v>
                </c:pt>
                <c:pt idx="24">
                  <c:v>173</c:v>
                </c:pt>
                <c:pt idx="25">
                  <c:v>177</c:v>
                </c:pt>
                <c:pt idx="26">
                  <c:v>177</c:v>
                </c:pt>
                <c:pt idx="27">
                  <c:v>182</c:v>
                </c:pt>
                <c:pt idx="28">
                  <c:v>182</c:v>
                </c:pt>
                <c:pt idx="29">
                  <c:v>184</c:v>
                </c:pt>
                <c:pt idx="30">
                  <c:v>184</c:v>
                </c:pt>
                <c:pt idx="31">
                  <c:v>184</c:v>
                </c:pt>
                <c:pt idx="32">
                  <c:v>183</c:v>
                </c:pt>
                <c:pt idx="33">
                  <c:v>184</c:v>
                </c:pt>
                <c:pt idx="34">
                  <c:v>184</c:v>
                </c:pt>
                <c:pt idx="35">
                  <c:v>178</c:v>
                </c:pt>
                <c:pt idx="36">
                  <c:v>179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BB-4C0A-B49D-CC12A88E67D4}"/>
            </c:ext>
          </c:extLst>
        </c:ser>
        <c:ser>
          <c:idx val="1"/>
          <c:order val="1"/>
          <c:tx>
            <c:strRef>
              <c:f>NittyGrittySheet!$A$96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NittyGrittySheet!$B$94:$AL$94</c:f>
              <c:strCache>
                <c:ptCount val="37"/>
                <c:pt idx="0">
                  <c:v>10/13/2025</c:v>
                </c:pt>
                <c:pt idx="1">
                  <c:v>10/17/2025</c:v>
                </c:pt>
                <c:pt idx="2">
                  <c:v>10/24/2025</c:v>
                </c:pt>
                <c:pt idx="3">
                  <c:v>10/31/2025</c:v>
                </c:pt>
                <c:pt idx="4">
                  <c:v>11/7/2025</c:v>
                </c:pt>
                <c:pt idx="5">
                  <c:v>11/14/2025</c:v>
                </c:pt>
                <c:pt idx="6">
                  <c:v>11/21/2025</c:v>
                </c:pt>
                <c:pt idx="7">
                  <c:v>11/28/2025</c:v>
                </c:pt>
                <c:pt idx="8">
                  <c:v>12/5/2025</c:v>
                </c:pt>
                <c:pt idx="9">
                  <c:v>12/12/2025</c:v>
                </c:pt>
                <c:pt idx="10">
                  <c:v>12/19/2025</c:v>
                </c:pt>
                <c:pt idx="11">
                  <c:v>12/26/2025</c:v>
                </c:pt>
                <c:pt idx="12">
                  <c:v>1/2/2026</c:v>
                </c:pt>
                <c:pt idx="13">
                  <c:v>1/9/2026</c:v>
                </c:pt>
                <c:pt idx="14">
                  <c:v>1/16/2026</c:v>
                </c:pt>
                <c:pt idx="15">
                  <c:v>1/23/2026</c:v>
                </c:pt>
                <c:pt idx="16">
                  <c:v>1/30/2026</c:v>
                </c:pt>
                <c:pt idx="17">
                  <c:v>2/6/2026</c:v>
                </c:pt>
                <c:pt idx="18">
                  <c:v>2/13/2026</c:v>
                </c:pt>
                <c:pt idx="19">
                  <c:v>2/20/2026</c:v>
                </c:pt>
                <c:pt idx="20">
                  <c:v>2/27/2026</c:v>
                </c:pt>
                <c:pt idx="21">
                  <c:v>3/13/2026</c:v>
                </c:pt>
                <c:pt idx="22">
                  <c:v>3/20/2026</c:v>
                </c:pt>
                <c:pt idx="23">
                  <c:v>3/27/2026</c:v>
                </c:pt>
                <c:pt idx="24">
                  <c:v>4/3/2026</c:v>
                </c:pt>
                <c:pt idx="25">
                  <c:v>4/10/2026</c:v>
                </c:pt>
                <c:pt idx="26">
                  <c:v>4/17/2026</c:v>
                </c:pt>
                <c:pt idx="27">
                  <c:v>4/24/2026</c:v>
                </c:pt>
                <c:pt idx="28">
                  <c:v>5/1/2026</c:v>
                </c:pt>
                <c:pt idx="29">
                  <c:v>5/8/2026</c:v>
                </c:pt>
                <c:pt idx="30">
                  <c:v>5/15/2026</c:v>
                </c:pt>
                <c:pt idx="31">
                  <c:v>5/22/2026</c:v>
                </c:pt>
                <c:pt idx="32">
                  <c:v>05/29/2026</c:v>
                </c:pt>
                <c:pt idx="33">
                  <c:v>6/5/2026</c:v>
                </c:pt>
                <c:pt idx="34">
                  <c:v>6/12/2026</c:v>
                </c:pt>
                <c:pt idx="35">
                  <c:v>6/19/2026</c:v>
                </c:pt>
                <c:pt idx="36">
                  <c:v>6/26/2026</c:v>
                </c:pt>
              </c:strCache>
            </c:strRef>
          </c:cat>
          <c:val>
            <c:numRef>
              <c:f>NittyGrittySheet!$B$96:$AL$96</c:f>
              <c:numCache>
                <c:formatCode>General</c:formatCode>
                <c:ptCount val="37"/>
                <c:pt idx="0">
                  <c:v>91</c:v>
                </c:pt>
                <c:pt idx="1">
                  <c:v>91</c:v>
                </c:pt>
                <c:pt idx="2">
                  <c:v>91</c:v>
                </c:pt>
                <c:pt idx="3">
                  <c:v>81</c:v>
                </c:pt>
                <c:pt idx="4">
                  <c:v>81</c:v>
                </c:pt>
                <c:pt idx="5">
                  <c:v>76</c:v>
                </c:pt>
                <c:pt idx="6">
                  <c:v>76</c:v>
                </c:pt>
                <c:pt idx="7">
                  <c:v>76</c:v>
                </c:pt>
                <c:pt idx="8">
                  <c:v>75</c:v>
                </c:pt>
                <c:pt idx="9">
                  <c:v>108</c:v>
                </c:pt>
                <c:pt idx="10">
                  <c:v>106</c:v>
                </c:pt>
                <c:pt idx="11">
                  <c:v>106</c:v>
                </c:pt>
                <c:pt idx="12">
                  <c:v>101</c:v>
                </c:pt>
                <c:pt idx="13">
                  <c:v>98</c:v>
                </c:pt>
                <c:pt idx="14">
                  <c:v>96</c:v>
                </c:pt>
                <c:pt idx="15">
                  <c:v>95</c:v>
                </c:pt>
                <c:pt idx="16">
                  <c:v>86</c:v>
                </c:pt>
                <c:pt idx="17">
                  <c:v>82</c:v>
                </c:pt>
                <c:pt idx="18">
                  <c:v>76</c:v>
                </c:pt>
                <c:pt idx="19">
                  <c:v>72</c:v>
                </c:pt>
                <c:pt idx="20">
                  <c:v>70</c:v>
                </c:pt>
                <c:pt idx="21">
                  <c:v>57</c:v>
                </c:pt>
                <c:pt idx="22">
                  <c:v>46</c:v>
                </c:pt>
                <c:pt idx="23">
                  <c:v>44</c:v>
                </c:pt>
                <c:pt idx="24">
                  <c:v>41</c:v>
                </c:pt>
                <c:pt idx="25">
                  <c:v>37</c:v>
                </c:pt>
                <c:pt idx="26">
                  <c:v>32</c:v>
                </c:pt>
                <c:pt idx="27">
                  <c:v>24</c:v>
                </c:pt>
                <c:pt idx="28">
                  <c:v>24</c:v>
                </c:pt>
                <c:pt idx="29">
                  <c:v>20</c:v>
                </c:pt>
                <c:pt idx="30">
                  <c:v>19</c:v>
                </c:pt>
                <c:pt idx="31">
                  <c:v>19</c:v>
                </c:pt>
                <c:pt idx="32">
                  <c:v>18</c:v>
                </c:pt>
                <c:pt idx="33">
                  <c:v>15</c:v>
                </c:pt>
                <c:pt idx="34">
                  <c:v>14</c:v>
                </c:pt>
                <c:pt idx="35">
                  <c:v>13</c:v>
                </c:pt>
                <c:pt idx="36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BB-4C0A-B49D-CC12A88E67D4}"/>
            </c:ext>
          </c:extLst>
        </c:ser>
        <c:ser>
          <c:idx val="3"/>
          <c:order val="3"/>
          <c:tx>
            <c:strRef>
              <c:f>NittyGrittySheet!$A$98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NittyGrittySheet!$B$94:$AL$94</c:f>
              <c:strCache>
                <c:ptCount val="37"/>
                <c:pt idx="0">
                  <c:v>10/13/2025</c:v>
                </c:pt>
                <c:pt idx="1">
                  <c:v>10/17/2025</c:v>
                </c:pt>
                <c:pt idx="2">
                  <c:v>10/24/2025</c:v>
                </c:pt>
                <c:pt idx="3">
                  <c:v>10/31/2025</c:v>
                </c:pt>
                <c:pt idx="4">
                  <c:v>11/7/2025</c:v>
                </c:pt>
                <c:pt idx="5">
                  <c:v>11/14/2025</c:v>
                </c:pt>
                <c:pt idx="6">
                  <c:v>11/21/2025</c:v>
                </c:pt>
                <c:pt idx="7">
                  <c:v>11/28/2025</c:v>
                </c:pt>
                <c:pt idx="8">
                  <c:v>12/5/2025</c:v>
                </c:pt>
                <c:pt idx="9">
                  <c:v>12/12/2025</c:v>
                </c:pt>
                <c:pt idx="10">
                  <c:v>12/19/2025</c:v>
                </c:pt>
                <c:pt idx="11">
                  <c:v>12/26/2025</c:v>
                </c:pt>
                <c:pt idx="12">
                  <c:v>1/2/2026</c:v>
                </c:pt>
                <c:pt idx="13">
                  <c:v>1/9/2026</c:v>
                </c:pt>
                <c:pt idx="14">
                  <c:v>1/16/2026</c:v>
                </c:pt>
                <c:pt idx="15">
                  <c:v>1/23/2026</c:v>
                </c:pt>
                <c:pt idx="16">
                  <c:v>1/30/2026</c:v>
                </c:pt>
                <c:pt idx="17">
                  <c:v>2/6/2026</c:v>
                </c:pt>
                <c:pt idx="18">
                  <c:v>2/13/2026</c:v>
                </c:pt>
                <c:pt idx="19">
                  <c:v>2/20/2026</c:v>
                </c:pt>
                <c:pt idx="20">
                  <c:v>2/27/2026</c:v>
                </c:pt>
                <c:pt idx="21">
                  <c:v>3/13/2026</c:v>
                </c:pt>
                <c:pt idx="22">
                  <c:v>3/20/2026</c:v>
                </c:pt>
                <c:pt idx="23">
                  <c:v>3/27/2026</c:v>
                </c:pt>
                <c:pt idx="24">
                  <c:v>4/3/2026</c:v>
                </c:pt>
                <c:pt idx="25">
                  <c:v>4/10/2026</c:v>
                </c:pt>
                <c:pt idx="26">
                  <c:v>4/17/2026</c:v>
                </c:pt>
                <c:pt idx="27">
                  <c:v>4/24/2026</c:v>
                </c:pt>
                <c:pt idx="28">
                  <c:v>5/1/2026</c:v>
                </c:pt>
                <c:pt idx="29">
                  <c:v>5/8/2026</c:v>
                </c:pt>
                <c:pt idx="30">
                  <c:v>5/15/2026</c:v>
                </c:pt>
                <c:pt idx="31">
                  <c:v>5/22/2026</c:v>
                </c:pt>
                <c:pt idx="32">
                  <c:v>05/29/2026</c:v>
                </c:pt>
                <c:pt idx="33">
                  <c:v>6/5/2026</c:v>
                </c:pt>
                <c:pt idx="34">
                  <c:v>6/12/2026</c:v>
                </c:pt>
                <c:pt idx="35">
                  <c:v>6/19/2026</c:v>
                </c:pt>
                <c:pt idx="36">
                  <c:v>6/26/2026</c:v>
                </c:pt>
              </c:strCache>
            </c:strRef>
          </c:cat>
          <c:val>
            <c:numRef>
              <c:f>NittyGrittySheet!$B$98:$AL$98</c:f>
              <c:numCache>
                <c:formatCode>General</c:formatCode>
                <c:ptCount val="37"/>
                <c:pt idx="0">
                  <c:v>116</c:v>
                </c:pt>
                <c:pt idx="1">
                  <c:v>116</c:v>
                </c:pt>
                <c:pt idx="2">
                  <c:v>114</c:v>
                </c:pt>
                <c:pt idx="3">
                  <c:v>109</c:v>
                </c:pt>
                <c:pt idx="4">
                  <c:v>106</c:v>
                </c:pt>
                <c:pt idx="5">
                  <c:v>71</c:v>
                </c:pt>
                <c:pt idx="6">
                  <c:v>66</c:v>
                </c:pt>
                <c:pt idx="7">
                  <c:v>66</c:v>
                </c:pt>
                <c:pt idx="8">
                  <c:v>56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EBB-4C0A-B49D-CC12A88E67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NittyGrittySheet!$A$97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NittyGrittySheet!$B$94:$AL$94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NittyGrittySheet!$B$97:$AL$97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AEBB-4C0A-B49D-CC12A88E67D4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NittyGrittySheet!$A$99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NittyGrittySheet!$B$94:$AL$94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NittyGrittySheet!$B$99:$AL$99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11</c:v>
                      </c:pt>
                      <c:pt idx="1">
                        <c:v>11</c:v>
                      </c:pt>
                      <c:pt idx="2">
                        <c:v>11</c:v>
                      </c:pt>
                      <c:pt idx="3">
                        <c:v>10</c:v>
                      </c:pt>
                      <c:pt idx="4">
                        <c:v>10</c:v>
                      </c:pt>
                      <c:pt idx="5">
                        <c:v>9</c:v>
                      </c:pt>
                      <c:pt idx="6">
                        <c:v>9</c:v>
                      </c:pt>
                      <c:pt idx="7">
                        <c:v>9</c:v>
                      </c:pt>
                      <c:pt idx="8">
                        <c:v>11</c:v>
                      </c:pt>
                      <c:pt idx="9">
                        <c:v>11</c:v>
                      </c:pt>
                      <c:pt idx="10">
                        <c:v>11</c:v>
                      </c:pt>
                      <c:pt idx="11">
                        <c:v>11</c:v>
                      </c:pt>
                      <c:pt idx="12">
                        <c:v>15</c:v>
                      </c:pt>
                      <c:pt idx="13">
                        <c:v>15</c:v>
                      </c:pt>
                      <c:pt idx="14">
                        <c:v>14</c:v>
                      </c:pt>
                      <c:pt idx="15">
                        <c:v>14</c:v>
                      </c:pt>
                      <c:pt idx="16">
                        <c:v>14</c:v>
                      </c:pt>
                      <c:pt idx="17">
                        <c:v>14</c:v>
                      </c:pt>
                      <c:pt idx="18">
                        <c:v>14</c:v>
                      </c:pt>
                      <c:pt idx="19">
                        <c:v>14</c:v>
                      </c:pt>
                      <c:pt idx="20">
                        <c:v>14</c:v>
                      </c:pt>
                      <c:pt idx="21">
                        <c:v>15</c:v>
                      </c:pt>
                      <c:pt idx="22">
                        <c:v>16</c:v>
                      </c:pt>
                      <c:pt idx="23">
                        <c:v>16</c:v>
                      </c:pt>
                      <c:pt idx="24">
                        <c:v>16</c:v>
                      </c:pt>
                      <c:pt idx="25">
                        <c:v>16</c:v>
                      </c:pt>
                      <c:pt idx="26">
                        <c:v>16</c:v>
                      </c:pt>
                      <c:pt idx="27">
                        <c:v>16</c:v>
                      </c:pt>
                      <c:pt idx="28">
                        <c:v>16</c:v>
                      </c:pt>
                      <c:pt idx="29">
                        <c:v>16</c:v>
                      </c:pt>
                      <c:pt idx="30">
                        <c:v>16</c:v>
                      </c:pt>
                      <c:pt idx="31">
                        <c:v>16</c:v>
                      </c:pt>
                      <c:pt idx="32">
                        <c:v>16</c:v>
                      </c:pt>
                      <c:pt idx="33">
                        <c:v>16</c:v>
                      </c:pt>
                      <c:pt idx="34">
                        <c:v>16</c:v>
                      </c:pt>
                      <c:pt idx="35">
                        <c:v>14</c:v>
                      </c:pt>
                      <c:pt idx="36">
                        <c:v>14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AEBB-4C0A-B49D-CC12A88E67D4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NittyGrittySheet!$A$100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NittyGrittySheet!$B$94:$AL$94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NittyGrittySheet!$B$100:$AL$100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EBB-4C0A-B49D-CC12A88E67D4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NittyGrittySheet!$A$101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NittyGrittySheet!$B$94:$AL$94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NittyGrittySheet!$B$101:$AL$101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8</c:v>
                      </c:pt>
                      <c:pt idx="1">
                        <c:v>8</c:v>
                      </c:pt>
                      <c:pt idx="2">
                        <c:v>8</c:v>
                      </c:pt>
                      <c:pt idx="3">
                        <c:v>8</c:v>
                      </c:pt>
                      <c:pt idx="4">
                        <c:v>8</c:v>
                      </c:pt>
                      <c:pt idx="5">
                        <c:v>8</c:v>
                      </c:pt>
                      <c:pt idx="6">
                        <c:v>8</c:v>
                      </c:pt>
                      <c:pt idx="7">
                        <c:v>8</c:v>
                      </c:pt>
                      <c:pt idx="8">
                        <c:v>8</c:v>
                      </c:pt>
                      <c:pt idx="9">
                        <c:v>8</c:v>
                      </c:pt>
                      <c:pt idx="10">
                        <c:v>7</c:v>
                      </c:pt>
                      <c:pt idx="11">
                        <c:v>7</c:v>
                      </c:pt>
                      <c:pt idx="12">
                        <c:v>7</c:v>
                      </c:pt>
                      <c:pt idx="13">
                        <c:v>7</c:v>
                      </c:pt>
                      <c:pt idx="14">
                        <c:v>7</c:v>
                      </c:pt>
                      <c:pt idx="15">
                        <c:v>7</c:v>
                      </c:pt>
                      <c:pt idx="16">
                        <c:v>7</c:v>
                      </c:pt>
                      <c:pt idx="17">
                        <c:v>7</c:v>
                      </c:pt>
                      <c:pt idx="18">
                        <c:v>9</c:v>
                      </c:pt>
                      <c:pt idx="19">
                        <c:v>9</c:v>
                      </c:pt>
                      <c:pt idx="20">
                        <c:v>9</c:v>
                      </c:pt>
                      <c:pt idx="21">
                        <c:v>10</c:v>
                      </c:pt>
                      <c:pt idx="22">
                        <c:v>12</c:v>
                      </c:pt>
                      <c:pt idx="23">
                        <c:v>12</c:v>
                      </c:pt>
                      <c:pt idx="24">
                        <c:v>12</c:v>
                      </c:pt>
                      <c:pt idx="25">
                        <c:v>12</c:v>
                      </c:pt>
                      <c:pt idx="26">
                        <c:v>12</c:v>
                      </c:pt>
                      <c:pt idx="27">
                        <c:v>13</c:v>
                      </c:pt>
                      <c:pt idx="28">
                        <c:v>13</c:v>
                      </c:pt>
                      <c:pt idx="29">
                        <c:v>14</c:v>
                      </c:pt>
                      <c:pt idx="30">
                        <c:v>14</c:v>
                      </c:pt>
                      <c:pt idx="31">
                        <c:v>14</c:v>
                      </c:pt>
                      <c:pt idx="32">
                        <c:v>14</c:v>
                      </c:pt>
                      <c:pt idx="33">
                        <c:v>14</c:v>
                      </c:pt>
                      <c:pt idx="34">
                        <c:v>14</c:v>
                      </c:pt>
                      <c:pt idx="35">
                        <c:v>11</c:v>
                      </c:pt>
                      <c:pt idx="36">
                        <c:v>11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EBB-4C0A-B49D-CC12A88E67D4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NittyGrittySheet!$A$102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NittyGrittySheet!$B$94:$AL$94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NittyGrittySheet!$B$102:$AL$102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1</c:v>
                      </c:pt>
                      <c:pt idx="20">
                        <c:v>2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2</c:v>
                      </c:pt>
                      <c:pt idx="27">
                        <c:v>4</c:v>
                      </c:pt>
                      <c:pt idx="28">
                        <c:v>4</c:v>
                      </c:pt>
                      <c:pt idx="29">
                        <c:v>4</c:v>
                      </c:pt>
                      <c:pt idx="30">
                        <c:v>4</c:v>
                      </c:pt>
                      <c:pt idx="31">
                        <c:v>4</c:v>
                      </c:pt>
                      <c:pt idx="32">
                        <c:v>4</c:v>
                      </c:pt>
                      <c:pt idx="33">
                        <c:v>4</c:v>
                      </c:pt>
                      <c:pt idx="34">
                        <c:v>4</c:v>
                      </c:pt>
                      <c:pt idx="35">
                        <c:v>4</c:v>
                      </c:pt>
                      <c:pt idx="36">
                        <c:v>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AEBB-4C0A-B49D-CC12A88E67D4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NittyGrittySheet!$A$103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NittyGrittySheet!$B$94:$AL$94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NittyGrittySheet!$B$103:$AL$103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2</c:v>
                      </c:pt>
                      <c:pt idx="6">
                        <c:v>2</c:v>
                      </c:pt>
                      <c:pt idx="7">
                        <c:v>2</c:v>
                      </c:pt>
                      <c:pt idx="8">
                        <c:v>2</c:v>
                      </c:pt>
                      <c:pt idx="9">
                        <c:v>2</c:v>
                      </c:pt>
                      <c:pt idx="10">
                        <c:v>2</c:v>
                      </c:pt>
                      <c:pt idx="11">
                        <c:v>2</c:v>
                      </c:pt>
                      <c:pt idx="12">
                        <c:v>2</c:v>
                      </c:pt>
                      <c:pt idx="13">
                        <c:v>2</c:v>
                      </c:pt>
                      <c:pt idx="14">
                        <c:v>2</c:v>
                      </c:pt>
                      <c:pt idx="15">
                        <c:v>2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2</c:v>
                      </c:pt>
                      <c:pt idx="23">
                        <c:v>2</c:v>
                      </c:pt>
                      <c:pt idx="24">
                        <c:v>2</c:v>
                      </c:pt>
                      <c:pt idx="25">
                        <c:v>2</c:v>
                      </c:pt>
                      <c:pt idx="26">
                        <c:v>2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AEBB-4C0A-B49D-CC12A88E67D4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NittyGrittySheet!$A$104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NittyGrittySheet!$B$94:$AL$94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NittyGrittySheet!$B$104:$AL$104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8</c:v>
                      </c:pt>
                      <c:pt idx="1">
                        <c:v>8</c:v>
                      </c:pt>
                      <c:pt idx="2">
                        <c:v>8</c:v>
                      </c:pt>
                      <c:pt idx="3">
                        <c:v>8</c:v>
                      </c:pt>
                      <c:pt idx="4">
                        <c:v>8</c:v>
                      </c:pt>
                      <c:pt idx="5">
                        <c:v>8</c:v>
                      </c:pt>
                      <c:pt idx="6">
                        <c:v>8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12</c:v>
                      </c:pt>
                      <c:pt idx="10">
                        <c:v>12</c:v>
                      </c:pt>
                      <c:pt idx="11">
                        <c:v>12</c:v>
                      </c:pt>
                      <c:pt idx="12">
                        <c:v>12</c:v>
                      </c:pt>
                      <c:pt idx="13">
                        <c:v>12</c:v>
                      </c:pt>
                      <c:pt idx="14">
                        <c:v>12</c:v>
                      </c:pt>
                      <c:pt idx="15">
                        <c:v>12</c:v>
                      </c:pt>
                      <c:pt idx="16">
                        <c:v>12</c:v>
                      </c:pt>
                      <c:pt idx="17">
                        <c:v>13</c:v>
                      </c:pt>
                      <c:pt idx="18">
                        <c:v>14</c:v>
                      </c:pt>
                      <c:pt idx="19">
                        <c:v>14</c:v>
                      </c:pt>
                      <c:pt idx="20">
                        <c:v>14</c:v>
                      </c:pt>
                      <c:pt idx="21">
                        <c:v>14</c:v>
                      </c:pt>
                      <c:pt idx="22">
                        <c:v>14</c:v>
                      </c:pt>
                      <c:pt idx="23">
                        <c:v>14</c:v>
                      </c:pt>
                      <c:pt idx="24">
                        <c:v>14</c:v>
                      </c:pt>
                      <c:pt idx="25">
                        <c:v>14</c:v>
                      </c:pt>
                      <c:pt idx="26">
                        <c:v>13</c:v>
                      </c:pt>
                      <c:pt idx="27">
                        <c:v>14</c:v>
                      </c:pt>
                      <c:pt idx="28">
                        <c:v>14</c:v>
                      </c:pt>
                      <c:pt idx="29">
                        <c:v>15</c:v>
                      </c:pt>
                      <c:pt idx="30">
                        <c:v>15</c:v>
                      </c:pt>
                      <c:pt idx="31">
                        <c:v>15</c:v>
                      </c:pt>
                      <c:pt idx="32">
                        <c:v>15</c:v>
                      </c:pt>
                      <c:pt idx="33">
                        <c:v>15</c:v>
                      </c:pt>
                      <c:pt idx="34">
                        <c:v>15</c:v>
                      </c:pt>
                      <c:pt idx="35">
                        <c:v>13</c:v>
                      </c:pt>
                      <c:pt idx="36">
                        <c:v>12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AEBB-4C0A-B49D-CC12A88E67D4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NittyGrittySheet!$A$105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NittyGrittySheet!$B$94:$AL$94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NittyGrittySheet!$B$105:$AL$105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301</c:v>
                      </c:pt>
                      <c:pt idx="1">
                        <c:v>301</c:v>
                      </c:pt>
                      <c:pt idx="2">
                        <c:v>300</c:v>
                      </c:pt>
                      <c:pt idx="3">
                        <c:v>299</c:v>
                      </c:pt>
                      <c:pt idx="4">
                        <c:v>299</c:v>
                      </c:pt>
                      <c:pt idx="5">
                        <c:v>276</c:v>
                      </c:pt>
                      <c:pt idx="6">
                        <c:v>276</c:v>
                      </c:pt>
                      <c:pt idx="7">
                        <c:v>276</c:v>
                      </c:pt>
                      <c:pt idx="8">
                        <c:v>275</c:v>
                      </c:pt>
                      <c:pt idx="9">
                        <c:v>267</c:v>
                      </c:pt>
                      <c:pt idx="10">
                        <c:v>266</c:v>
                      </c:pt>
                      <c:pt idx="11">
                        <c:v>266</c:v>
                      </c:pt>
                      <c:pt idx="12">
                        <c:v>266</c:v>
                      </c:pt>
                      <c:pt idx="13">
                        <c:v>266</c:v>
                      </c:pt>
                      <c:pt idx="14">
                        <c:v>266</c:v>
                      </c:pt>
                      <c:pt idx="15">
                        <c:v>266</c:v>
                      </c:pt>
                      <c:pt idx="16">
                        <c:v>265</c:v>
                      </c:pt>
                      <c:pt idx="17">
                        <c:v>263</c:v>
                      </c:pt>
                      <c:pt idx="18">
                        <c:v>262</c:v>
                      </c:pt>
                      <c:pt idx="19">
                        <c:v>261</c:v>
                      </c:pt>
                      <c:pt idx="20">
                        <c:v>261</c:v>
                      </c:pt>
                      <c:pt idx="21">
                        <c:v>260</c:v>
                      </c:pt>
                      <c:pt idx="22">
                        <c:v>260</c:v>
                      </c:pt>
                      <c:pt idx="23">
                        <c:v>259</c:v>
                      </c:pt>
                      <c:pt idx="24">
                        <c:v>259</c:v>
                      </c:pt>
                      <c:pt idx="25">
                        <c:v>259</c:v>
                      </c:pt>
                      <c:pt idx="26">
                        <c:v>254</c:v>
                      </c:pt>
                      <c:pt idx="27">
                        <c:v>254</c:v>
                      </c:pt>
                      <c:pt idx="28">
                        <c:v>254</c:v>
                      </c:pt>
                      <c:pt idx="29">
                        <c:v>254</c:v>
                      </c:pt>
                      <c:pt idx="30">
                        <c:v>253</c:v>
                      </c:pt>
                      <c:pt idx="31">
                        <c:v>253</c:v>
                      </c:pt>
                      <c:pt idx="32">
                        <c:v>251</c:v>
                      </c:pt>
                      <c:pt idx="33">
                        <c:v>249</c:v>
                      </c:pt>
                      <c:pt idx="34">
                        <c:v>248</c:v>
                      </c:pt>
                      <c:pt idx="35">
                        <c:v>233</c:v>
                      </c:pt>
                      <c:pt idx="36">
                        <c:v>233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AEBB-4C0A-B49D-CC12A88E67D4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% Placed 5 Year Summary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BSGSCM!$O$24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BSGSCM!$M$25:$M$38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BSGSCM!$O$25:$O$38</c:f>
              <c:numCache>
                <c:formatCode>0.00%</c:formatCode>
                <c:ptCount val="14"/>
                <c:pt idx="0">
                  <c:v>0.11711711711711711</c:v>
                </c:pt>
                <c:pt idx="1">
                  <c:v>0.11711711711711711</c:v>
                </c:pt>
                <c:pt idx="2">
                  <c:v>0.15315315315315314</c:v>
                </c:pt>
                <c:pt idx="3">
                  <c:v>0.34234234234234234</c:v>
                </c:pt>
                <c:pt idx="4">
                  <c:v>0.36936936936936937</c:v>
                </c:pt>
                <c:pt idx="5">
                  <c:v>0.45945945945945948</c:v>
                </c:pt>
                <c:pt idx="6">
                  <c:v>0.51351351351351349</c:v>
                </c:pt>
                <c:pt idx="7">
                  <c:v>0.6216216216216216</c:v>
                </c:pt>
                <c:pt idx="8">
                  <c:v>0.7927927927927928</c:v>
                </c:pt>
                <c:pt idx="9">
                  <c:v>0.81081081081081086</c:v>
                </c:pt>
                <c:pt idx="10">
                  <c:v>0.86486486486486491</c:v>
                </c:pt>
                <c:pt idx="11">
                  <c:v>0.92792792792792789</c:v>
                </c:pt>
                <c:pt idx="12">
                  <c:v>0.92792792792792789</c:v>
                </c:pt>
                <c:pt idx="13">
                  <c:v>0.963963963963964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A8-4611-9B01-42D3E28DD37B}"/>
            </c:ext>
          </c:extLst>
        </c:ser>
        <c:ser>
          <c:idx val="2"/>
          <c:order val="1"/>
          <c:tx>
            <c:strRef>
              <c:f>BSGSCM!$P$24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BSGSCM!$M$25:$M$38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BSGSCM!$P$25:$P$38</c:f>
              <c:numCache>
                <c:formatCode>0.00%</c:formatCode>
                <c:ptCount val="14"/>
                <c:pt idx="0">
                  <c:v>0.15384615384615385</c:v>
                </c:pt>
                <c:pt idx="1">
                  <c:v>0.28846153846153844</c:v>
                </c:pt>
                <c:pt idx="2">
                  <c:v>0.375</c:v>
                </c:pt>
                <c:pt idx="3">
                  <c:v>0.46153846153846156</c:v>
                </c:pt>
                <c:pt idx="4">
                  <c:v>0.50961538461538458</c:v>
                </c:pt>
                <c:pt idx="5">
                  <c:v>0.66346153846153844</c:v>
                </c:pt>
                <c:pt idx="6">
                  <c:v>0.74038461538461542</c:v>
                </c:pt>
                <c:pt idx="7">
                  <c:v>0.80769230769230771</c:v>
                </c:pt>
                <c:pt idx="8">
                  <c:v>0.84615384615384615</c:v>
                </c:pt>
                <c:pt idx="9">
                  <c:v>0.89423076923076927</c:v>
                </c:pt>
                <c:pt idx="10">
                  <c:v>0.92307692307692313</c:v>
                </c:pt>
                <c:pt idx="11">
                  <c:v>0.94230769230769229</c:v>
                </c:pt>
                <c:pt idx="12">
                  <c:v>0.94230769230769229</c:v>
                </c:pt>
                <c:pt idx="13">
                  <c:v>0.95192307692307687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EA8-4611-9B01-42D3E28DD37B}"/>
            </c:ext>
          </c:extLst>
        </c:ser>
        <c:ser>
          <c:idx val="3"/>
          <c:order val="2"/>
          <c:tx>
            <c:strRef>
              <c:f>BSGSCM!$Q$24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BSGSCM!$M$25:$M$38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BSGSCM!$Q$25:$Q$38</c:f>
              <c:numCache>
                <c:formatCode>0.00%</c:formatCode>
                <c:ptCount val="14"/>
                <c:pt idx="0">
                  <c:v>0.18055555555555555</c:v>
                </c:pt>
                <c:pt idx="1">
                  <c:v>0.2361111111111111</c:v>
                </c:pt>
                <c:pt idx="2">
                  <c:v>0.43055555555555558</c:v>
                </c:pt>
                <c:pt idx="3">
                  <c:v>0.61111111111111116</c:v>
                </c:pt>
                <c:pt idx="4">
                  <c:v>0.68055555555555558</c:v>
                </c:pt>
                <c:pt idx="5">
                  <c:v>0.70833333333333337</c:v>
                </c:pt>
                <c:pt idx="6">
                  <c:v>0.72222222222222221</c:v>
                </c:pt>
                <c:pt idx="7">
                  <c:v>0.875</c:v>
                </c:pt>
                <c:pt idx="8">
                  <c:v>0.90277777777777779</c:v>
                </c:pt>
                <c:pt idx="9">
                  <c:v>0.91666666666666663</c:v>
                </c:pt>
                <c:pt idx="10">
                  <c:v>0.95833333333333337</c:v>
                </c:pt>
                <c:pt idx="11">
                  <c:v>0.97222222222222221</c:v>
                </c:pt>
                <c:pt idx="12">
                  <c:v>0.98611111111111116</c:v>
                </c:pt>
                <c:pt idx="13">
                  <c:v>0.98611111111111116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EA8-4611-9B01-42D3E28DD37B}"/>
            </c:ext>
          </c:extLst>
        </c:ser>
        <c:ser>
          <c:idx val="4"/>
          <c:order val="3"/>
          <c:tx>
            <c:strRef>
              <c:f>BSGSCM!$R$24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BSGSCM!$M$25:$M$38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BSGSCM!$R$25:$R$38</c:f>
              <c:numCache>
                <c:formatCode>0.00%</c:formatCode>
                <c:ptCount val="14"/>
                <c:pt idx="0">
                  <c:v>0.189873417721519</c:v>
                </c:pt>
                <c:pt idx="1">
                  <c:v>0.39240506329113922</c:v>
                </c:pt>
                <c:pt idx="2">
                  <c:v>0.55696202531645567</c:v>
                </c:pt>
                <c:pt idx="3">
                  <c:v>0.69620253164556967</c:v>
                </c:pt>
                <c:pt idx="4">
                  <c:v>0.78481012658227844</c:v>
                </c:pt>
                <c:pt idx="5">
                  <c:v>0.810126582278481</c:v>
                </c:pt>
                <c:pt idx="6">
                  <c:v>0.87341772151898733</c:v>
                </c:pt>
                <c:pt idx="7">
                  <c:v>0.91139240506329111</c:v>
                </c:pt>
                <c:pt idx="8">
                  <c:v>0.97468354430379744</c:v>
                </c:pt>
                <c:pt idx="9">
                  <c:v>0.98734177215189878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8EA8-4611-9B01-42D3E28DD37B}"/>
            </c:ext>
          </c:extLst>
        </c:ser>
        <c:ser>
          <c:idx val="5"/>
          <c:order val="4"/>
          <c:tx>
            <c:strRef>
              <c:f>BSGSCM!$S$24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BSGSCM!$M$25:$M$38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BSGSCM!$S$25:$S$38</c:f>
              <c:numCache>
                <c:formatCode>0.00%</c:formatCode>
                <c:ptCount val="14"/>
                <c:pt idx="0">
                  <c:v>0.13750000000000001</c:v>
                </c:pt>
                <c:pt idx="1">
                  <c:v>0.26250000000000001</c:v>
                </c:pt>
                <c:pt idx="2">
                  <c:v>0.5</c:v>
                </c:pt>
                <c:pt idx="3">
                  <c:v>0.7</c:v>
                </c:pt>
                <c:pt idx="4">
                  <c:v>0.71250000000000002</c:v>
                </c:pt>
                <c:pt idx="5">
                  <c:v>0.8125</c:v>
                </c:pt>
                <c:pt idx="6">
                  <c:v>0.86250000000000004</c:v>
                </c:pt>
                <c:pt idx="7">
                  <c:v>0.9375</c:v>
                </c:pt>
                <c:pt idx="8">
                  <c:v>0.97499999999999998</c:v>
                </c:pt>
                <c:pt idx="9">
                  <c:v>0.97499999999999998</c:v>
                </c:pt>
                <c:pt idx="10">
                  <c:v>0.98750000000000004</c:v>
                </c:pt>
                <c:pt idx="11">
                  <c:v>0.98750000000000004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8EA8-4611-9B01-42D3E28DD37B}"/>
            </c:ext>
          </c:extLst>
        </c:ser>
        <c:ser>
          <c:idx val="0"/>
          <c:order val="5"/>
          <c:tx>
            <c:strRef>
              <c:f>BSGSCM!$N$24</c:f>
              <c:strCache>
                <c:ptCount val="1"/>
                <c:pt idx="0">
                  <c:v>2026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BSGSCM!$M$25:$M$38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BSGSCM!$N$25:$N$38</c:f>
              <c:numCache>
                <c:formatCode>0.00%</c:formatCode>
                <c:ptCount val="14"/>
                <c:pt idx="2">
                  <c:v>0.2361</c:v>
                </c:pt>
                <c:pt idx="3">
                  <c:v>0.27779999999999999</c:v>
                </c:pt>
                <c:pt idx="4">
                  <c:v>0.36730000000000002</c:v>
                </c:pt>
                <c:pt idx="5">
                  <c:v>0.46479999999999999</c:v>
                </c:pt>
                <c:pt idx="6">
                  <c:v>0.54010000000000002</c:v>
                </c:pt>
                <c:pt idx="7">
                  <c:v>0.61760000000000004</c:v>
                </c:pt>
                <c:pt idx="8">
                  <c:v>0.79369999999999996</c:v>
                </c:pt>
                <c:pt idx="9">
                  <c:v>0.84</c:v>
                </c:pt>
                <c:pt idx="10">
                  <c:v>0.91670000000000007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EA8-4611-9B01-42D3E28DD3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</a:t>
            </a:r>
            <a:r>
              <a:rPr lang="en-US" baseline="0"/>
              <a:t> Placement %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NittyGrittySheet!$A$109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NittyGrittySheet!$B$108:$AL$108</c:f>
              <c:strCache>
                <c:ptCount val="37"/>
                <c:pt idx="0">
                  <c:v>10/13/2025</c:v>
                </c:pt>
                <c:pt idx="1">
                  <c:v>10/17/2025</c:v>
                </c:pt>
                <c:pt idx="2">
                  <c:v>10/24/2025</c:v>
                </c:pt>
                <c:pt idx="3">
                  <c:v>10/31/2025</c:v>
                </c:pt>
                <c:pt idx="4">
                  <c:v>11/7/2025</c:v>
                </c:pt>
                <c:pt idx="5">
                  <c:v>11/14/2025</c:v>
                </c:pt>
                <c:pt idx="6">
                  <c:v>11/21/2025</c:v>
                </c:pt>
                <c:pt idx="7">
                  <c:v>11/28/2025</c:v>
                </c:pt>
                <c:pt idx="8">
                  <c:v>12/5/2025</c:v>
                </c:pt>
                <c:pt idx="9">
                  <c:v>12/12/2025</c:v>
                </c:pt>
                <c:pt idx="10">
                  <c:v>12/19/2025</c:v>
                </c:pt>
                <c:pt idx="11">
                  <c:v>12/26/2025</c:v>
                </c:pt>
                <c:pt idx="12">
                  <c:v>1/2/2026</c:v>
                </c:pt>
                <c:pt idx="13">
                  <c:v>1/9/2026</c:v>
                </c:pt>
                <c:pt idx="14">
                  <c:v>1/16/2026</c:v>
                </c:pt>
                <c:pt idx="15">
                  <c:v>1/23/2026</c:v>
                </c:pt>
                <c:pt idx="16">
                  <c:v>1/30/2026</c:v>
                </c:pt>
                <c:pt idx="17">
                  <c:v>2/6/2026</c:v>
                </c:pt>
                <c:pt idx="18">
                  <c:v>2/13/2026</c:v>
                </c:pt>
                <c:pt idx="19">
                  <c:v>2/20/2026</c:v>
                </c:pt>
                <c:pt idx="20">
                  <c:v>2/27/2026</c:v>
                </c:pt>
                <c:pt idx="21">
                  <c:v>3/13/2026</c:v>
                </c:pt>
                <c:pt idx="22">
                  <c:v>3/20/2026</c:v>
                </c:pt>
                <c:pt idx="23">
                  <c:v>3/27/2026</c:v>
                </c:pt>
                <c:pt idx="24">
                  <c:v>4/3/2026</c:v>
                </c:pt>
                <c:pt idx="25">
                  <c:v>4/10/2026</c:v>
                </c:pt>
                <c:pt idx="26">
                  <c:v>4/17/2026</c:v>
                </c:pt>
                <c:pt idx="27">
                  <c:v>4/24/2026</c:v>
                </c:pt>
                <c:pt idx="28">
                  <c:v>5/1/2026</c:v>
                </c:pt>
                <c:pt idx="29">
                  <c:v>5/8/2026</c:v>
                </c:pt>
                <c:pt idx="30">
                  <c:v>5/15/2026</c:v>
                </c:pt>
                <c:pt idx="31">
                  <c:v>5/22/2026</c:v>
                </c:pt>
                <c:pt idx="32">
                  <c:v>05/29/2026</c:v>
                </c:pt>
                <c:pt idx="33">
                  <c:v>6/5/2026</c:v>
                </c:pt>
                <c:pt idx="34">
                  <c:v>6/12/2026</c:v>
                </c:pt>
                <c:pt idx="35">
                  <c:v>6/19/2026</c:v>
                </c:pt>
                <c:pt idx="36">
                  <c:v>6/26/2026</c:v>
                </c:pt>
              </c:strCache>
            </c:strRef>
          </c:cat>
          <c:val>
            <c:numRef>
              <c:f>NittyGrittySheet!$B$109:$AL$109</c:f>
              <c:numCache>
                <c:formatCode>0.00%</c:formatCode>
                <c:ptCount val="37"/>
                <c:pt idx="0">
                  <c:v>0.1497</c:v>
                </c:pt>
                <c:pt idx="1">
                  <c:v>0.14480000000000001</c:v>
                </c:pt>
                <c:pt idx="2">
                  <c:v>0.22220000000000001</c:v>
                </c:pt>
                <c:pt idx="3">
                  <c:v>0.2361</c:v>
                </c:pt>
                <c:pt idx="4">
                  <c:v>0.25690000000000002</c:v>
                </c:pt>
                <c:pt idx="5">
                  <c:v>0.27079999999999999</c:v>
                </c:pt>
                <c:pt idx="6">
                  <c:v>0.27589999999999998</c:v>
                </c:pt>
                <c:pt idx="7">
                  <c:v>0.27779999999999999</c:v>
                </c:pt>
                <c:pt idx="8">
                  <c:v>0.31469999999999998</c:v>
                </c:pt>
                <c:pt idx="9">
                  <c:v>0.35859999999999997</c:v>
                </c:pt>
                <c:pt idx="10">
                  <c:v>0.37240000000000001</c:v>
                </c:pt>
                <c:pt idx="11">
                  <c:v>0.36730000000000002</c:v>
                </c:pt>
                <c:pt idx="12">
                  <c:v>0.37840000000000001</c:v>
                </c:pt>
                <c:pt idx="13">
                  <c:v>0.3826</c:v>
                </c:pt>
                <c:pt idx="14">
                  <c:v>0.41959999999999997</c:v>
                </c:pt>
                <c:pt idx="15">
                  <c:v>0.4577</c:v>
                </c:pt>
                <c:pt idx="16">
                  <c:v>0.46479999999999999</c:v>
                </c:pt>
                <c:pt idx="17">
                  <c:v>0.4718</c:v>
                </c:pt>
                <c:pt idx="18">
                  <c:v>0.52210000000000001</c:v>
                </c:pt>
                <c:pt idx="19">
                  <c:v>0.51470000000000005</c:v>
                </c:pt>
                <c:pt idx="20">
                  <c:v>0.53280000000000005</c:v>
                </c:pt>
                <c:pt idx="21">
                  <c:v>0.58389999999999997</c:v>
                </c:pt>
                <c:pt idx="22">
                  <c:v>0.61029999999999995</c:v>
                </c:pt>
                <c:pt idx="23">
                  <c:v>0.61760000000000004</c:v>
                </c:pt>
                <c:pt idx="24">
                  <c:v>0.6875</c:v>
                </c:pt>
                <c:pt idx="25">
                  <c:v>0.74019999999999997</c:v>
                </c:pt>
                <c:pt idx="26">
                  <c:v>0.76190000000000002</c:v>
                </c:pt>
                <c:pt idx="27">
                  <c:v>0.77780000000000005</c:v>
                </c:pt>
                <c:pt idx="28">
                  <c:v>0.78739999999999999</c:v>
                </c:pt>
                <c:pt idx="29">
                  <c:v>0.81099999999999994</c:v>
                </c:pt>
                <c:pt idx="30">
                  <c:v>0.83329999999999993</c:v>
                </c:pt>
                <c:pt idx="31">
                  <c:v>0.83200000000000007</c:v>
                </c:pt>
                <c:pt idx="32">
                  <c:v>0.84</c:v>
                </c:pt>
                <c:pt idx="33">
                  <c:v>0.8698999999999999</c:v>
                </c:pt>
                <c:pt idx="34">
                  <c:v>0.90980000000000005</c:v>
                </c:pt>
                <c:pt idx="35">
                  <c:v>0.90980000000000005</c:v>
                </c:pt>
                <c:pt idx="36">
                  <c:v>0.91670000000000007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94-4555-8C94-878116ABE6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Search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NittyGrittySheet!$A$112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NittyGrittySheet!$B$111:$AL$111</c:f>
              <c:strCache>
                <c:ptCount val="37"/>
                <c:pt idx="0">
                  <c:v>10/13/2025</c:v>
                </c:pt>
                <c:pt idx="1">
                  <c:v>10/17/2025</c:v>
                </c:pt>
                <c:pt idx="2">
                  <c:v>10/24/2025</c:v>
                </c:pt>
                <c:pt idx="3">
                  <c:v>10/31/2025</c:v>
                </c:pt>
                <c:pt idx="4">
                  <c:v>11/7/2025</c:v>
                </c:pt>
                <c:pt idx="5">
                  <c:v>11/14/2025</c:v>
                </c:pt>
                <c:pt idx="6">
                  <c:v>11/21/2025</c:v>
                </c:pt>
                <c:pt idx="7">
                  <c:v>11/28/2025</c:v>
                </c:pt>
                <c:pt idx="8">
                  <c:v>12/5/2025</c:v>
                </c:pt>
                <c:pt idx="9">
                  <c:v>12/12/2025</c:v>
                </c:pt>
                <c:pt idx="10">
                  <c:v>12/19/2025</c:v>
                </c:pt>
                <c:pt idx="11">
                  <c:v>12/26/2025</c:v>
                </c:pt>
                <c:pt idx="12">
                  <c:v>1/2/2026</c:v>
                </c:pt>
                <c:pt idx="13">
                  <c:v>1/9/2026</c:v>
                </c:pt>
                <c:pt idx="14">
                  <c:v>1/16/2026</c:v>
                </c:pt>
                <c:pt idx="15">
                  <c:v>1/23/2026</c:v>
                </c:pt>
                <c:pt idx="16">
                  <c:v>1/30/2026</c:v>
                </c:pt>
                <c:pt idx="17">
                  <c:v>2/6/2026</c:v>
                </c:pt>
                <c:pt idx="18">
                  <c:v>2/13/2026</c:v>
                </c:pt>
                <c:pt idx="19">
                  <c:v>2/20/2026</c:v>
                </c:pt>
                <c:pt idx="20">
                  <c:v>2/27/2026</c:v>
                </c:pt>
                <c:pt idx="21">
                  <c:v>3/13/2026</c:v>
                </c:pt>
                <c:pt idx="22">
                  <c:v>3/20/2026</c:v>
                </c:pt>
                <c:pt idx="23">
                  <c:v>3/27/2026</c:v>
                </c:pt>
                <c:pt idx="24">
                  <c:v>4/3/2026</c:v>
                </c:pt>
                <c:pt idx="25">
                  <c:v>4/10/2026</c:v>
                </c:pt>
                <c:pt idx="26">
                  <c:v>4/17/2026</c:v>
                </c:pt>
                <c:pt idx="27">
                  <c:v>4/24/2026</c:v>
                </c:pt>
                <c:pt idx="28">
                  <c:v>5/1/2026</c:v>
                </c:pt>
                <c:pt idx="29">
                  <c:v>5/8/2026</c:v>
                </c:pt>
                <c:pt idx="30">
                  <c:v>5/15/2026</c:v>
                </c:pt>
                <c:pt idx="31">
                  <c:v>5/22/2026</c:v>
                </c:pt>
                <c:pt idx="32">
                  <c:v>05/29/2026</c:v>
                </c:pt>
                <c:pt idx="33">
                  <c:v>6/5/2026</c:v>
                </c:pt>
                <c:pt idx="34">
                  <c:v>6/12/2026</c:v>
                </c:pt>
                <c:pt idx="35">
                  <c:v>6/19/2026</c:v>
                </c:pt>
                <c:pt idx="36">
                  <c:v>6/26/2026</c:v>
                </c:pt>
              </c:strCache>
            </c:strRef>
          </c:cat>
          <c:val>
            <c:numRef>
              <c:f>NittyGrittySheet!$B$112:$AL$112</c:f>
              <c:numCache>
                <c:formatCode>General</c:formatCode>
                <c:ptCount val="37"/>
                <c:pt idx="0">
                  <c:v>22</c:v>
                </c:pt>
                <c:pt idx="1">
                  <c:v>21</c:v>
                </c:pt>
                <c:pt idx="2">
                  <c:v>32</c:v>
                </c:pt>
                <c:pt idx="3">
                  <c:v>34</c:v>
                </c:pt>
                <c:pt idx="4">
                  <c:v>37</c:v>
                </c:pt>
                <c:pt idx="5">
                  <c:v>39</c:v>
                </c:pt>
                <c:pt idx="6">
                  <c:v>40</c:v>
                </c:pt>
                <c:pt idx="7">
                  <c:v>40</c:v>
                </c:pt>
                <c:pt idx="8">
                  <c:v>45</c:v>
                </c:pt>
                <c:pt idx="9">
                  <c:v>52</c:v>
                </c:pt>
                <c:pt idx="10">
                  <c:v>54</c:v>
                </c:pt>
                <c:pt idx="11">
                  <c:v>54</c:v>
                </c:pt>
                <c:pt idx="12">
                  <c:v>56</c:v>
                </c:pt>
                <c:pt idx="13">
                  <c:v>57</c:v>
                </c:pt>
                <c:pt idx="14">
                  <c:v>60</c:v>
                </c:pt>
                <c:pt idx="15">
                  <c:v>65</c:v>
                </c:pt>
                <c:pt idx="16">
                  <c:v>66</c:v>
                </c:pt>
                <c:pt idx="17">
                  <c:v>67</c:v>
                </c:pt>
                <c:pt idx="18">
                  <c:v>71</c:v>
                </c:pt>
                <c:pt idx="19">
                  <c:v>70</c:v>
                </c:pt>
                <c:pt idx="20">
                  <c:v>73</c:v>
                </c:pt>
                <c:pt idx="21">
                  <c:v>80</c:v>
                </c:pt>
                <c:pt idx="22">
                  <c:v>83</c:v>
                </c:pt>
                <c:pt idx="23">
                  <c:v>84</c:v>
                </c:pt>
                <c:pt idx="24">
                  <c:v>88</c:v>
                </c:pt>
                <c:pt idx="25">
                  <c:v>94</c:v>
                </c:pt>
                <c:pt idx="26">
                  <c:v>96</c:v>
                </c:pt>
                <c:pt idx="27">
                  <c:v>98</c:v>
                </c:pt>
                <c:pt idx="28">
                  <c:v>100</c:v>
                </c:pt>
                <c:pt idx="29">
                  <c:v>103</c:v>
                </c:pt>
                <c:pt idx="30">
                  <c:v>105</c:v>
                </c:pt>
                <c:pt idx="31">
                  <c:v>104</c:v>
                </c:pt>
                <c:pt idx="32">
                  <c:v>105</c:v>
                </c:pt>
                <c:pt idx="33">
                  <c:v>107</c:v>
                </c:pt>
                <c:pt idx="34">
                  <c:v>111</c:v>
                </c:pt>
                <c:pt idx="35">
                  <c:v>111</c:v>
                </c:pt>
                <c:pt idx="36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8C-47B8-9F4C-51072C1D1F36}"/>
            </c:ext>
          </c:extLst>
        </c:ser>
        <c:ser>
          <c:idx val="1"/>
          <c:order val="1"/>
          <c:tx>
            <c:strRef>
              <c:f>NittyGrittySheet!$A$113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NittyGrittySheet!$B$111:$AL$111</c:f>
              <c:strCache>
                <c:ptCount val="37"/>
                <c:pt idx="0">
                  <c:v>10/13/2025</c:v>
                </c:pt>
                <c:pt idx="1">
                  <c:v>10/17/2025</c:v>
                </c:pt>
                <c:pt idx="2">
                  <c:v>10/24/2025</c:v>
                </c:pt>
                <c:pt idx="3">
                  <c:v>10/31/2025</c:v>
                </c:pt>
                <c:pt idx="4">
                  <c:v>11/7/2025</c:v>
                </c:pt>
                <c:pt idx="5">
                  <c:v>11/14/2025</c:v>
                </c:pt>
                <c:pt idx="6">
                  <c:v>11/21/2025</c:v>
                </c:pt>
                <c:pt idx="7">
                  <c:v>11/28/2025</c:v>
                </c:pt>
                <c:pt idx="8">
                  <c:v>12/5/2025</c:v>
                </c:pt>
                <c:pt idx="9">
                  <c:v>12/12/2025</c:v>
                </c:pt>
                <c:pt idx="10">
                  <c:v>12/19/2025</c:v>
                </c:pt>
                <c:pt idx="11">
                  <c:v>12/26/2025</c:v>
                </c:pt>
                <c:pt idx="12">
                  <c:v>1/2/2026</c:v>
                </c:pt>
                <c:pt idx="13">
                  <c:v>1/9/2026</c:v>
                </c:pt>
                <c:pt idx="14">
                  <c:v>1/16/2026</c:v>
                </c:pt>
                <c:pt idx="15">
                  <c:v>1/23/2026</c:v>
                </c:pt>
                <c:pt idx="16">
                  <c:v>1/30/2026</c:v>
                </c:pt>
                <c:pt idx="17">
                  <c:v>2/6/2026</c:v>
                </c:pt>
                <c:pt idx="18">
                  <c:v>2/13/2026</c:v>
                </c:pt>
                <c:pt idx="19">
                  <c:v>2/20/2026</c:v>
                </c:pt>
                <c:pt idx="20">
                  <c:v>2/27/2026</c:v>
                </c:pt>
                <c:pt idx="21">
                  <c:v>3/13/2026</c:v>
                </c:pt>
                <c:pt idx="22">
                  <c:v>3/20/2026</c:v>
                </c:pt>
                <c:pt idx="23">
                  <c:v>3/27/2026</c:v>
                </c:pt>
                <c:pt idx="24">
                  <c:v>4/3/2026</c:v>
                </c:pt>
                <c:pt idx="25">
                  <c:v>4/10/2026</c:v>
                </c:pt>
                <c:pt idx="26">
                  <c:v>4/17/2026</c:v>
                </c:pt>
                <c:pt idx="27">
                  <c:v>4/24/2026</c:v>
                </c:pt>
                <c:pt idx="28">
                  <c:v>5/1/2026</c:v>
                </c:pt>
                <c:pt idx="29">
                  <c:v>5/8/2026</c:v>
                </c:pt>
                <c:pt idx="30">
                  <c:v>5/15/2026</c:v>
                </c:pt>
                <c:pt idx="31">
                  <c:v>5/22/2026</c:v>
                </c:pt>
                <c:pt idx="32">
                  <c:v>05/29/2026</c:v>
                </c:pt>
                <c:pt idx="33">
                  <c:v>6/5/2026</c:v>
                </c:pt>
                <c:pt idx="34">
                  <c:v>6/12/2026</c:v>
                </c:pt>
                <c:pt idx="35">
                  <c:v>6/19/2026</c:v>
                </c:pt>
                <c:pt idx="36">
                  <c:v>6/26/2026</c:v>
                </c:pt>
              </c:strCache>
            </c:strRef>
          </c:cat>
          <c:val>
            <c:numRef>
              <c:f>NittyGrittySheet!$B$113:$AL$113</c:f>
              <c:numCache>
                <c:formatCode>General</c:formatCode>
                <c:ptCount val="37"/>
                <c:pt idx="0">
                  <c:v>90</c:v>
                </c:pt>
                <c:pt idx="1">
                  <c:v>90</c:v>
                </c:pt>
                <c:pt idx="2">
                  <c:v>80</c:v>
                </c:pt>
                <c:pt idx="3">
                  <c:v>79</c:v>
                </c:pt>
                <c:pt idx="4">
                  <c:v>80</c:v>
                </c:pt>
                <c:pt idx="5">
                  <c:v>79</c:v>
                </c:pt>
                <c:pt idx="6">
                  <c:v>78</c:v>
                </c:pt>
                <c:pt idx="7">
                  <c:v>77</c:v>
                </c:pt>
                <c:pt idx="8">
                  <c:v>74</c:v>
                </c:pt>
                <c:pt idx="9">
                  <c:v>70</c:v>
                </c:pt>
                <c:pt idx="10">
                  <c:v>68</c:v>
                </c:pt>
                <c:pt idx="11">
                  <c:v>70</c:v>
                </c:pt>
                <c:pt idx="12">
                  <c:v>73</c:v>
                </c:pt>
                <c:pt idx="13">
                  <c:v>74</c:v>
                </c:pt>
                <c:pt idx="14">
                  <c:v>68</c:v>
                </c:pt>
                <c:pt idx="15">
                  <c:v>63</c:v>
                </c:pt>
                <c:pt idx="16">
                  <c:v>62</c:v>
                </c:pt>
                <c:pt idx="17">
                  <c:v>62</c:v>
                </c:pt>
                <c:pt idx="18">
                  <c:v>56</c:v>
                </c:pt>
                <c:pt idx="19">
                  <c:v>57</c:v>
                </c:pt>
                <c:pt idx="20">
                  <c:v>58</c:v>
                </c:pt>
                <c:pt idx="21">
                  <c:v>51</c:v>
                </c:pt>
                <c:pt idx="22">
                  <c:v>52</c:v>
                </c:pt>
                <c:pt idx="23">
                  <c:v>51</c:v>
                </c:pt>
                <c:pt idx="24">
                  <c:v>40</c:v>
                </c:pt>
                <c:pt idx="25">
                  <c:v>33</c:v>
                </c:pt>
                <c:pt idx="26">
                  <c:v>30</c:v>
                </c:pt>
                <c:pt idx="27">
                  <c:v>28</c:v>
                </c:pt>
                <c:pt idx="28">
                  <c:v>27</c:v>
                </c:pt>
                <c:pt idx="29">
                  <c:v>24</c:v>
                </c:pt>
                <c:pt idx="30">
                  <c:v>20</c:v>
                </c:pt>
                <c:pt idx="31">
                  <c:v>20</c:v>
                </c:pt>
                <c:pt idx="32">
                  <c:v>19</c:v>
                </c:pt>
                <c:pt idx="33">
                  <c:v>16</c:v>
                </c:pt>
                <c:pt idx="34">
                  <c:v>11</c:v>
                </c:pt>
                <c:pt idx="35">
                  <c:v>11</c:v>
                </c:pt>
                <c:pt idx="36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8C-47B8-9F4C-51072C1D1F36}"/>
            </c:ext>
          </c:extLst>
        </c:ser>
        <c:ser>
          <c:idx val="3"/>
          <c:order val="3"/>
          <c:tx>
            <c:strRef>
              <c:f>NittyGrittySheet!$A$115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NittyGrittySheet!$B$111:$AL$111</c:f>
              <c:strCache>
                <c:ptCount val="37"/>
                <c:pt idx="0">
                  <c:v>10/13/2025</c:v>
                </c:pt>
                <c:pt idx="1">
                  <c:v>10/17/2025</c:v>
                </c:pt>
                <c:pt idx="2">
                  <c:v>10/24/2025</c:v>
                </c:pt>
                <c:pt idx="3">
                  <c:v>10/31/2025</c:v>
                </c:pt>
                <c:pt idx="4">
                  <c:v>11/7/2025</c:v>
                </c:pt>
                <c:pt idx="5">
                  <c:v>11/14/2025</c:v>
                </c:pt>
                <c:pt idx="6">
                  <c:v>11/21/2025</c:v>
                </c:pt>
                <c:pt idx="7">
                  <c:v>11/28/2025</c:v>
                </c:pt>
                <c:pt idx="8">
                  <c:v>12/5/2025</c:v>
                </c:pt>
                <c:pt idx="9">
                  <c:v>12/12/2025</c:v>
                </c:pt>
                <c:pt idx="10">
                  <c:v>12/19/2025</c:v>
                </c:pt>
                <c:pt idx="11">
                  <c:v>12/26/2025</c:v>
                </c:pt>
                <c:pt idx="12">
                  <c:v>1/2/2026</c:v>
                </c:pt>
                <c:pt idx="13">
                  <c:v>1/9/2026</c:v>
                </c:pt>
                <c:pt idx="14">
                  <c:v>1/16/2026</c:v>
                </c:pt>
                <c:pt idx="15">
                  <c:v>1/23/2026</c:v>
                </c:pt>
                <c:pt idx="16">
                  <c:v>1/30/2026</c:v>
                </c:pt>
                <c:pt idx="17">
                  <c:v>2/6/2026</c:v>
                </c:pt>
                <c:pt idx="18">
                  <c:v>2/13/2026</c:v>
                </c:pt>
                <c:pt idx="19">
                  <c:v>2/20/2026</c:v>
                </c:pt>
                <c:pt idx="20">
                  <c:v>2/27/2026</c:v>
                </c:pt>
                <c:pt idx="21">
                  <c:v>3/13/2026</c:v>
                </c:pt>
                <c:pt idx="22">
                  <c:v>3/20/2026</c:v>
                </c:pt>
                <c:pt idx="23">
                  <c:v>3/27/2026</c:v>
                </c:pt>
                <c:pt idx="24">
                  <c:v>4/3/2026</c:v>
                </c:pt>
                <c:pt idx="25">
                  <c:v>4/10/2026</c:v>
                </c:pt>
                <c:pt idx="26">
                  <c:v>4/17/2026</c:v>
                </c:pt>
                <c:pt idx="27">
                  <c:v>4/24/2026</c:v>
                </c:pt>
                <c:pt idx="28">
                  <c:v>5/1/2026</c:v>
                </c:pt>
                <c:pt idx="29">
                  <c:v>5/8/2026</c:v>
                </c:pt>
                <c:pt idx="30">
                  <c:v>5/15/2026</c:v>
                </c:pt>
                <c:pt idx="31">
                  <c:v>5/22/2026</c:v>
                </c:pt>
                <c:pt idx="32">
                  <c:v>05/29/2026</c:v>
                </c:pt>
                <c:pt idx="33">
                  <c:v>6/5/2026</c:v>
                </c:pt>
                <c:pt idx="34">
                  <c:v>6/12/2026</c:v>
                </c:pt>
                <c:pt idx="35">
                  <c:v>6/19/2026</c:v>
                </c:pt>
                <c:pt idx="36">
                  <c:v>6/26/2026</c:v>
                </c:pt>
              </c:strCache>
            </c:strRef>
          </c:cat>
          <c:val>
            <c:numRef>
              <c:f>NittyGrittySheet!$B$115:$AL$115</c:f>
              <c:numCache>
                <c:formatCode>General</c:formatCode>
                <c:ptCount val="37"/>
                <c:pt idx="0">
                  <c:v>35</c:v>
                </c:pt>
                <c:pt idx="1">
                  <c:v>34</c:v>
                </c:pt>
                <c:pt idx="2">
                  <c:v>32</c:v>
                </c:pt>
                <c:pt idx="3">
                  <c:v>31</c:v>
                </c:pt>
                <c:pt idx="4">
                  <c:v>27</c:v>
                </c:pt>
                <c:pt idx="5">
                  <c:v>26</c:v>
                </c:pt>
                <c:pt idx="6">
                  <c:v>27</c:v>
                </c:pt>
                <c:pt idx="7">
                  <c:v>27</c:v>
                </c:pt>
                <c:pt idx="8">
                  <c:v>24</c:v>
                </c:pt>
                <c:pt idx="9">
                  <c:v>23</c:v>
                </c:pt>
                <c:pt idx="10">
                  <c:v>23</c:v>
                </c:pt>
                <c:pt idx="11">
                  <c:v>23</c:v>
                </c:pt>
                <c:pt idx="12">
                  <c:v>19</c:v>
                </c:pt>
                <c:pt idx="13">
                  <c:v>18</c:v>
                </c:pt>
                <c:pt idx="14">
                  <c:v>15</c:v>
                </c:pt>
                <c:pt idx="15">
                  <c:v>14</c:v>
                </c:pt>
                <c:pt idx="16">
                  <c:v>14</c:v>
                </c:pt>
                <c:pt idx="17">
                  <c:v>13</c:v>
                </c:pt>
                <c:pt idx="18">
                  <c:v>9</c:v>
                </c:pt>
                <c:pt idx="19">
                  <c:v>9</c:v>
                </c:pt>
                <c:pt idx="20">
                  <c:v>6</c:v>
                </c:pt>
                <c:pt idx="21">
                  <c:v>6</c:v>
                </c:pt>
                <c:pt idx="22">
                  <c:v>1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E8C-47B8-9F4C-51072C1D1F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NittyGrittySheet!$A$114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NittyGrittySheet!$B$111:$AL$111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NittyGrittySheet!$B$114:$AL$114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3</c:v>
                      </c:pt>
                      <c:pt idx="25">
                        <c:v>3</c:v>
                      </c:pt>
                      <c:pt idx="26">
                        <c:v>3</c:v>
                      </c:pt>
                      <c:pt idx="27">
                        <c:v>2</c:v>
                      </c:pt>
                      <c:pt idx="28">
                        <c:v>2</c:v>
                      </c:pt>
                      <c:pt idx="29">
                        <c:v>2</c:v>
                      </c:pt>
                      <c:pt idx="30">
                        <c:v>2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AE8C-47B8-9F4C-51072C1D1F36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NittyGrittySheet!$A$116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NittyGrittySheet!$B$111:$AL$111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NittyGrittySheet!$B$116:$AL$116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6</c:v>
                      </c:pt>
                      <c:pt idx="1">
                        <c:v>6</c:v>
                      </c:pt>
                      <c:pt idx="2">
                        <c:v>6</c:v>
                      </c:pt>
                      <c:pt idx="3">
                        <c:v>6</c:v>
                      </c:pt>
                      <c:pt idx="4">
                        <c:v>6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7</c:v>
                      </c:pt>
                      <c:pt idx="8">
                        <c:v>7</c:v>
                      </c:pt>
                      <c:pt idx="9">
                        <c:v>7</c:v>
                      </c:pt>
                      <c:pt idx="10">
                        <c:v>7</c:v>
                      </c:pt>
                      <c:pt idx="11">
                        <c:v>6</c:v>
                      </c:pt>
                      <c:pt idx="12">
                        <c:v>6</c:v>
                      </c:pt>
                      <c:pt idx="13">
                        <c:v>6</c:v>
                      </c:pt>
                      <c:pt idx="14">
                        <c:v>6</c:v>
                      </c:pt>
                      <c:pt idx="15">
                        <c:v>6</c:v>
                      </c:pt>
                      <c:pt idx="16">
                        <c:v>6</c:v>
                      </c:pt>
                      <c:pt idx="17">
                        <c:v>6</c:v>
                      </c:pt>
                      <c:pt idx="18">
                        <c:v>6</c:v>
                      </c:pt>
                      <c:pt idx="19">
                        <c:v>6</c:v>
                      </c:pt>
                      <c:pt idx="20">
                        <c:v>5</c:v>
                      </c:pt>
                      <c:pt idx="21">
                        <c:v>4</c:v>
                      </c:pt>
                      <c:pt idx="22">
                        <c:v>4</c:v>
                      </c:pt>
                      <c:pt idx="23">
                        <c:v>4</c:v>
                      </c:pt>
                      <c:pt idx="24">
                        <c:v>4</c:v>
                      </c:pt>
                      <c:pt idx="25">
                        <c:v>4</c:v>
                      </c:pt>
                      <c:pt idx="26">
                        <c:v>4</c:v>
                      </c:pt>
                      <c:pt idx="27">
                        <c:v>5</c:v>
                      </c:pt>
                      <c:pt idx="28">
                        <c:v>5</c:v>
                      </c:pt>
                      <c:pt idx="29">
                        <c:v>5</c:v>
                      </c:pt>
                      <c:pt idx="30">
                        <c:v>4</c:v>
                      </c:pt>
                      <c:pt idx="31">
                        <c:v>4</c:v>
                      </c:pt>
                      <c:pt idx="32">
                        <c:v>4</c:v>
                      </c:pt>
                      <c:pt idx="33">
                        <c:v>4</c:v>
                      </c:pt>
                      <c:pt idx="34">
                        <c:v>4</c:v>
                      </c:pt>
                      <c:pt idx="35">
                        <c:v>4</c:v>
                      </c:pt>
                      <c:pt idx="36">
                        <c:v>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AE8C-47B8-9F4C-51072C1D1F36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NittyGrittySheet!$A$117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NittyGrittySheet!$B$111:$AL$111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NittyGrittySheet!$B$117:$AL$117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E8C-47B8-9F4C-51072C1D1F36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NittyGrittySheet!$A$118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NittyGrittySheet!$B$111:$AL$111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NittyGrittySheet!$B$118:$AL$118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3</c:v>
                      </c:pt>
                      <c:pt idx="19">
                        <c:v>3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2</c:v>
                      </c:pt>
                      <c:pt idx="31">
                        <c:v>2</c:v>
                      </c:pt>
                      <c:pt idx="32">
                        <c:v>2</c:v>
                      </c:pt>
                      <c:pt idx="33">
                        <c:v>3</c:v>
                      </c:pt>
                      <c:pt idx="34">
                        <c:v>3</c:v>
                      </c:pt>
                      <c:pt idx="35">
                        <c:v>3</c:v>
                      </c:pt>
                      <c:pt idx="36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E8C-47B8-9F4C-51072C1D1F36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NittyGrittySheet!$A$119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NittyGrittySheet!$B$111:$AL$111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NittyGrittySheet!$B$119:$AL$119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2</c:v>
                      </c:pt>
                      <c:pt idx="26">
                        <c:v>2</c:v>
                      </c:pt>
                      <c:pt idx="27">
                        <c:v>2</c:v>
                      </c:pt>
                      <c:pt idx="28">
                        <c:v>2</c:v>
                      </c:pt>
                      <c:pt idx="29">
                        <c:v>2</c:v>
                      </c:pt>
                      <c:pt idx="30">
                        <c:v>2</c:v>
                      </c:pt>
                      <c:pt idx="31">
                        <c:v>2</c:v>
                      </c:pt>
                      <c:pt idx="32">
                        <c:v>2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AE8C-47B8-9F4C-51072C1D1F36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NittyGrittySheet!$A$120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NittyGrittySheet!$B$111:$AL$111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NittyGrittySheet!$B$120:$AL$120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3</c:v>
                      </c:pt>
                      <c:pt idx="1">
                        <c:v>4</c:v>
                      </c:pt>
                      <c:pt idx="2">
                        <c:v>5</c:v>
                      </c:pt>
                      <c:pt idx="3">
                        <c:v>5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6</c:v>
                      </c:pt>
                      <c:pt idx="7">
                        <c:v>6</c:v>
                      </c:pt>
                      <c:pt idx="8">
                        <c:v>6</c:v>
                      </c:pt>
                      <c:pt idx="9">
                        <c:v>6</c:v>
                      </c:pt>
                      <c:pt idx="10">
                        <c:v>6</c:v>
                      </c:pt>
                      <c:pt idx="11">
                        <c:v>6</c:v>
                      </c:pt>
                      <c:pt idx="12">
                        <c:v>6</c:v>
                      </c:pt>
                      <c:pt idx="13">
                        <c:v>6</c:v>
                      </c:pt>
                      <c:pt idx="14">
                        <c:v>5</c:v>
                      </c:pt>
                      <c:pt idx="15">
                        <c:v>5</c:v>
                      </c:pt>
                      <c:pt idx="16">
                        <c:v>5</c:v>
                      </c:pt>
                      <c:pt idx="17">
                        <c:v>5</c:v>
                      </c:pt>
                      <c:pt idx="18">
                        <c:v>6</c:v>
                      </c:pt>
                      <c:pt idx="19">
                        <c:v>6</c:v>
                      </c:pt>
                      <c:pt idx="20">
                        <c:v>7</c:v>
                      </c:pt>
                      <c:pt idx="21">
                        <c:v>7</c:v>
                      </c:pt>
                      <c:pt idx="22">
                        <c:v>7</c:v>
                      </c:pt>
                      <c:pt idx="23">
                        <c:v>7</c:v>
                      </c:pt>
                      <c:pt idx="24">
                        <c:v>8</c:v>
                      </c:pt>
                      <c:pt idx="25">
                        <c:v>8</c:v>
                      </c:pt>
                      <c:pt idx="26">
                        <c:v>8</c:v>
                      </c:pt>
                      <c:pt idx="27">
                        <c:v>8</c:v>
                      </c:pt>
                      <c:pt idx="28">
                        <c:v>8</c:v>
                      </c:pt>
                      <c:pt idx="29">
                        <c:v>8</c:v>
                      </c:pt>
                      <c:pt idx="30">
                        <c:v>7</c:v>
                      </c:pt>
                      <c:pt idx="31">
                        <c:v>7</c:v>
                      </c:pt>
                      <c:pt idx="32">
                        <c:v>7</c:v>
                      </c:pt>
                      <c:pt idx="33">
                        <c:v>7</c:v>
                      </c:pt>
                      <c:pt idx="34">
                        <c:v>7</c:v>
                      </c:pt>
                      <c:pt idx="35">
                        <c:v>7</c:v>
                      </c:pt>
                      <c:pt idx="36">
                        <c:v>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AE8C-47B8-9F4C-51072C1D1F36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NittyGrittySheet!$A$121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NittyGrittySheet!$B$111:$AL$111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NittyGrittySheet!$B$121:$AL$121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2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0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2</c:v>
                      </c:pt>
                      <c:pt idx="32">
                        <c:v>2</c:v>
                      </c:pt>
                      <c:pt idx="33">
                        <c:v>2</c:v>
                      </c:pt>
                      <c:pt idx="34">
                        <c:v>3</c:v>
                      </c:pt>
                      <c:pt idx="35">
                        <c:v>3</c:v>
                      </c:pt>
                      <c:pt idx="36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AE8C-47B8-9F4C-51072C1D1F36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NittyGrittySheet!$A$122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NittyGrittySheet!$B$111:$AL$111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NittyGrittySheet!$B$122:$AL$122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160</c:v>
                      </c:pt>
                      <c:pt idx="1">
                        <c:v>160</c:v>
                      </c:pt>
                      <c:pt idx="2">
                        <c:v>160</c:v>
                      </c:pt>
                      <c:pt idx="3">
                        <c:v>160</c:v>
                      </c:pt>
                      <c:pt idx="4">
                        <c:v>160</c:v>
                      </c:pt>
                      <c:pt idx="5">
                        <c:v>160</c:v>
                      </c:pt>
                      <c:pt idx="6">
                        <c:v>162</c:v>
                      </c:pt>
                      <c:pt idx="7">
                        <c:v>161</c:v>
                      </c:pt>
                      <c:pt idx="8">
                        <c:v>160</c:v>
                      </c:pt>
                      <c:pt idx="9">
                        <c:v>162</c:v>
                      </c:pt>
                      <c:pt idx="10">
                        <c:v>162</c:v>
                      </c:pt>
                      <c:pt idx="11">
                        <c:v>163</c:v>
                      </c:pt>
                      <c:pt idx="12">
                        <c:v>164</c:v>
                      </c:pt>
                      <c:pt idx="13">
                        <c:v>165</c:v>
                      </c:pt>
                      <c:pt idx="14">
                        <c:v>160</c:v>
                      </c:pt>
                      <c:pt idx="15">
                        <c:v>158</c:v>
                      </c:pt>
                      <c:pt idx="16">
                        <c:v>158</c:v>
                      </c:pt>
                      <c:pt idx="17">
                        <c:v>158</c:v>
                      </c:pt>
                      <c:pt idx="18">
                        <c:v>155</c:v>
                      </c:pt>
                      <c:pt idx="19">
                        <c:v>155</c:v>
                      </c:pt>
                      <c:pt idx="20">
                        <c:v>153</c:v>
                      </c:pt>
                      <c:pt idx="21">
                        <c:v>153</c:v>
                      </c:pt>
                      <c:pt idx="22">
                        <c:v>152</c:v>
                      </c:pt>
                      <c:pt idx="23">
                        <c:v>152</c:v>
                      </c:pt>
                      <c:pt idx="24">
                        <c:v>147</c:v>
                      </c:pt>
                      <c:pt idx="25">
                        <c:v>147</c:v>
                      </c:pt>
                      <c:pt idx="26">
                        <c:v>146</c:v>
                      </c:pt>
                      <c:pt idx="27">
                        <c:v>146</c:v>
                      </c:pt>
                      <c:pt idx="28">
                        <c:v>147</c:v>
                      </c:pt>
                      <c:pt idx="29">
                        <c:v>147</c:v>
                      </c:pt>
                      <c:pt idx="30">
                        <c:v>145</c:v>
                      </c:pt>
                      <c:pt idx="31">
                        <c:v>144</c:v>
                      </c:pt>
                      <c:pt idx="32">
                        <c:v>144</c:v>
                      </c:pt>
                      <c:pt idx="33">
                        <c:v>144</c:v>
                      </c:pt>
                      <c:pt idx="34">
                        <c:v>144</c:v>
                      </c:pt>
                      <c:pt idx="35">
                        <c:v>144</c:v>
                      </c:pt>
                      <c:pt idx="36">
                        <c:v>142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AE8C-47B8-9F4C-51072C1D1F36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% Placed 5 Year Summary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BSHRM!$O$24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BSHRM!$M$25:$M$38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BSHRM!$O$25:$O$38</c:f>
              <c:numCache>
                <c:formatCode>0.00%</c:formatCode>
                <c:ptCount val="14"/>
                <c:pt idx="0">
                  <c:v>0.16279069767441862</c:v>
                </c:pt>
                <c:pt idx="1">
                  <c:v>0.18604651162790697</c:v>
                </c:pt>
                <c:pt idx="2">
                  <c:v>0.23255813953488372</c:v>
                </c:pt>
                <c:pt idx="3">
                  <c:v>0.23255813953488372</c:v>
                </c:pt>
                <c:pt idx="4">
                  <c:v>0.2558139534883721</c:v>
                </c:pt>
                <c:pt idx="5">
                  <c:v>0.46511627906976744</c:v>
                </c:pt>
                <c:pt idx="6">
                  <c:v>0.51162790697674421</c:v>
                </c:pt>
                <c:pt idx="7">
                  <c:v>0.58139534883720934</c:v>
                </c:pt>
                <c:pt idx="8">
                  <c:v>0.58139534883720934</c:v>
                </c:pt>
                <c:pt idx="9">
                  <c:v>0.58139534883720934</c:v>
                </c:pt>
                <c:pt idx="10">
                  <c:v>0.60465116279069764</c:v>
                </c:pt>
                <c:pt idx="11">
                  <c:v>0.62790697674418605</c:v>
                </c:pt>
                <c:pt idx="12">
                  <c:v>0.97674418604651159</c:v>
                </c:pt>
                <c:pt idx="13">
                  <c:v>0.97674418604651159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BF-42D5-A3E6-26FDA0567A8F}"/>
            </c:ext>
          </c:extLst>
        </c:ser>
        <c:ser>
          <c:idx val="2"/>
          <c:order val="1"/>
          <c:tx>
            <c:strRef>
              <c:f>BSHRM!$P$24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BSHRM!$M$25:$M$38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BSHRM!$P$25:$P$38</c:f>
              <c:numCache>
                <c:formatCode>0.00%</c:formatCode>
                <c:ptCount val="14"/>
                <c:pt idx="0">
                  <c:v>0.11363636363636363</c:v>
                </c:pt>
                <c:pt idx="1">
                  <c:v>0.13636363636363635</c:v>
                </c:pt>
                <c:pt idx="2">
                  <c:v>0.15909090909090909</c:v>
                </c:pt>
                <c:pt idx="3">
                  <c:v>0.27272727272727271</c:v>
                </c:pt>
                <c:pt idx="4">
                  <c:v>0.31818181818181818</c:v>
                </c:pt>
                <c:pt idx="5">
                  <c:v>0.31818181818181818</c:v>
                </c:pt>
                <c:pt idx="6">
                  <c:v>0.31818181818181818</c:v>
                </c:pt>
                <c:pt idx="7">
                  <c:v>0.36363636363636365</c:v>
                </c:pt>
                <c:pt idx="8">
                  <c:v>0.38636363636363635</c:v>
                </c:pt>
                <c:pt idx="9">
                  <c:v>0.43181818181818182</c:v>
                </c:pt>
                <c:pt idx="10">
                  <c:v>0.47727272727272729</c:v>
                </c:pt>
                <c:pt idx="11">
                  <c:v>0.95454545454545459</c:v>
                </c:pt>
                <c:pt idx="12">
                  <c:v>0.95454545454545459</c:v>
                </c:pt>
                <c:pt idx="13">
                  <c:v>0.95454545454545459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56BF-42D5-A3E6-26FDA0567A8F}"/>
            </c:ext>
          </c:extLst>
        </c:ser>
        <c:ser>
          <c:idx val="3"/>
          <c:order val="2"/>
          <c:tx>
            <c:strRef>
              <c:f>BSHRM!$Q$24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BSHRM!$M$25:$M$38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BSHRM!$Q$25:$Q$38</c:f>
              <c:numCache>
                <c:formatCode>0.00%</c:formatCode>
                <c:ptCount val="14"/>
                <c:pt idx="0">
                  <c:v>2.3809523809523808E-2</c:v>
                </c:pt>
                <c:pt idx="1">
                  <c:v>2.3809523809523808E-2</c:v>
                </c:pt>
                <c:pt idx="2">
                  <c:v>7.1428571428571425E-2</c:v>
                </c:pt>
                <c:pt idx="3">
                  <c:v>7.1428571428571425E-2</c:v>
                </c:pt>
                <c:pt idx="4">
                  <c:v>0.14285714285714285</c:v>
                </c:pt>
                <c:pt idx="5">
                  <c:v>0.14285714285714285</c:v>
                </c:pt>
                <c:pt idx="6">
                  <c:v>0.19047619047619047</c:v>
                </c:pt>
                <c:pt idx="7">
                  <c:v>0.19047619047619047</c:v>
                </c:pt>
                <c:pt idx="8">
                  <c:v>0.19047619047619047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56BF-42D5-A3E6-26FDA0567A8F}"/>
            </c:ext>
          </c:extLst>
        </c:ser>
        <c:ser>
          <c:idx val="4"/>
          <c:order val="3"/>
          <c:tx>
            <c:strRef>
              <c:f>BSHRM!$R$24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BSHRM!$M$25:$M$38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BSHRM!$R$25:$R$38</c:f>
              <c:numCache>
                <c:formatCode>0.00%</c:formatCode>
                <c:ptCount val="14"/>
                <c:pt idx="0">
                  <c:v>0.12195121951219512</c:v>
                </c:pt>
                <c:pt idx="1">
                  <c:v>0.12195121951219512</c:v>
                </c:pt>
                <c:pt idx="2">
                  <c:v>0.24390243902439024</c:v>
                </c:pt>
                <c:pt idx="3">
                  <c:v>0.29268292682926828</c:v>
                </c:pt>
                <c:pt idx="4">
                  <c:v>0.29268292682926828</c:v>
                </c:pt>
                <c:pt idx="5">
                  <c:v>0.31707317073170732</c:v>
                </c:pt>
                <c:pt idx="6">
                  <c:v>0.3902439024390244</c:v>
                </c:pt>
                <c:pt idx="7">
                  <c:v>0.43902439024390244</c:v>
                </c:pt>
                <c:pt idx="8">
                  <c:v>0.48780487804878048</c:v>
                </c:pt>
                <c:pt idx="9">
                  <c:v>0.48780487804878048</c:v>
                </c:pt>
                <c:pt idx="10">
                  <c:v>0.65853658536585369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56BF-42D5-A3E6-26FDA0567A8F}"/>
            </c:ext>
          </c:extLst>
        </c:ser>
        <c:ser>
          <c:idx val="5"/>
          <c:order val="4"/>
          <c:tx>
            <c:strRef>
              <c:f>BSHRM!$S$24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BSHRM!$M$25:$M$38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BSHRM!$S$25:$S$38</c:f>
              <c:numCache>
                <c:formatCode>0.00%</c:formatCode>
                <c:ptCount val="14"/>
                <c:pt idx="0">
                  <c:v>5.7142857142857141E-2</c:v>
                </c:pt>
                <c:pt idx="1">
                  <c:v>8.5714285714285715E-2</c:v>
                </c:pt>
                <c:pt idx="2">
                  <c:v>8.5714285714285715E-2</c:v>
                </c:pt>
                <c:pt idx="3">
                  <c:v>8.5714285714285715E-2</c:v>
                </c:pt>
                <c:pt idx="4">
                  <c:v>8.5714285714285715E-2</c:v>
                </c:pt>
                <c:pt idx="5">
                  <c:v>0.22857142857142856</c:v>
                </c:pt>
                <c:pt idx="6">
                  <c:v>0.25714285714285712</c:v>
                </c:pt>
                <c:pt idx="7">
                  <c:v>0.2857142857142857</c:v>
                </c:pt>
                <c:pt idx="8">
                  <c:v>0.54285714285714282</c:v>
                </c:pt>
                <c:pt idx="9">
                  <c:v>0.5714285714285714</c:v>
                </c:pt>
                <c:pt idx="10">
                  <c:v>0.88571428571428568</c:v>
                </c:pt>
                <c:pt idx="11">
                  <c:v>0.88571428571428568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56BF-42D5-A3E6-26FDA0567A8F}"/>
            </c:ext>
          </c:extLst>
        </c:ser>
        <c:ser>
          <c:idx val="0"/>
          <c:order val="5"/>
          <c:tx>
            <c:strRef>
              <c:f>BSHRM!$N$24</c:f>
              <c:strCache>
                <c:ptCount val="1"/>
                <c:pt idx="0">
                  <c:v>2026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BSHRM!$M$25:$M$38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BSHRM!$N$25:$N$38</c:f>
              <c:numCache>
                <c:formatCode>0.00%</c:formatCode>
                <c:ptCount val="14"/>
                <c:pt idx="2">
                  <c:v>0.1515</c:v>
                </c:pt>
                <c:pt idx="3">
                  <c:v>0.18179999999999999</c:v>
                </c:pt>
                <c:pt idx="4">
                  <c:v>0.24640000000000001</c:v>
                </c:pt>
                <c:pt idx="5">
                  <c:v>0.31879999999999997</c:v>
                </c:pt>
                <c:pt idx="6">
                  <c:v>0.34329999999999999</c:v>
                </c:pt>
                <c:pt idx="7">
                  <c:v>0.37309999999999999</c:v>
                </c:pt>
                <c:pt idx="8">
                  <c:v>0.51559999999999995</c:v>
                </c:pt>
                <c:pt idx="9">
                  <c:v>0.629</c:v>
                </c:pt>
                <c:pt idx="10">
                  <c:v>0.68849999999999989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6BF-42D5-A3E6-26FDA0567A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Placement %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NittyGrittySheet!$A$126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NittyGrittySheet!$B$125:$AL$125</c:f>
              <c:strCache>
                <c:ptCount val="37"/>
                <c:pt idx="0">
                  <c:v>10/13/2025</c:v>
                </c:pt>
                <c:pt idx="1">
                  <c:v>10/17/2025</c:v>
                </c:pt>
                <c:pt idx="2">
                  <c:v>10/24/2025</c:v>
                </c:pt>
                <c:pt idx="3">
                  <c:v>10/31/2025</c:v>
                </c:pt>
                <c:pt idx="4">
                  <c:v>11/7/2025</c:v>
                </c:pt>
                <c:pt idx="5">
                  <c:v>11/14/2025</c:v>
                </c:pt>
                <c:pt idx="6">
                  <c:v>11/21/2025</c:v>
                </c:pt>
                <c:pt idx="7">
                  <c:v>11/28/2025</c:v>
                </c:pt>
                <c:pt idx="8">
                  <c:v>12/5/2025</c:v>
                </c:pt>
                <c:pt idx="9">
                  <c:v>12/12/2025</c:v>
                </c:pt>
                <c:pt idx="10">
                  <c:v>12/19/2025</c:v>
                </c:pt>
                <c:pt idx="11">
                  <c:v>12/26/2025</c:v>
                </c:pt>
                <c:pt idx="12">
                  <c:v>1/2/2026</c:v>
                </c:pt>
                <c:pt idx="13">
                  <c:v>1/9/2026</c:v>
                </c:pt>
                <c:pt idx="14">
                  <c:v>1/16/2026</c:v>
                </c:pt>
                <c:pt idx="15">
                  <c:v>1/23/2026</c:v>
                </c:pt>
                <c:pt idx="16">
                  <c:v>1/30/2026</c:v>
                </c:pt>
                <c:pt idx="17">
                  <c:v>2/6/2026</c:v>
                </c:pt>
                <c:pt idx="18">
                  <c:v>2/13/2026</c:v>
                </c:pt>
                <c:pt idx="19">
                  <c:v>2/20/2026</c:v>
                </c:pt>
                <c:pt idx="20">
                  <c:v>2/27/2026</c:v>
                </c:pt>
                <c:pt idx="21">
                  <c:v>3/13/2026</c:v>
                </c:pt>
                <c:pt idx="22">
                  <c:v>3/20/2026</c:v>
                </c:pt>
                <c:pt idx="23">
                  <c:v>3/27/2026</c:v>
                </c:pt>
                <c:pt idx="24">
                  <c:v>4/3/2026</c:v>
                </c:pt>
                <c:pt idx="25">
                  <c:v>4/10/2026</c:v>
                </c:pt>
                <c:pt idx="26">
                  <c:v>4/17/2026</c:v>
                </c:pt>
                <c:pt idx="27">
                  <c:v>4/24/2026</c:v>
                </c:pt>
                <c:pt idx="28">
                  <c:v>5/1/2026</c:v>
                </c:pt>
                <c:pt idx="29">
                  <c:v>5/8/2026</c:v>
                </c:pt>
                <c:pt idx="30">
                  <c:v>5/15/2026</c:v>
                </c:pt>
                <c:pt idx="31">
                  <c:v>5/22/2026</c:v>
                </c:pt>
                <c:pt idx="32">
                  <c:v>05/29/2026</c:v>
                </c:pt>
                <c:pt idx="33">
                  <c:v>6/5/2026</c:v>
                </c:pt>
                <c:pt idx="34">
                  <c:v>6/12/2026</c:v>
                </c:pt>
                <c:pt idx="35">
                  <c:v>6/19/2026</c:v>
                </c:pt>
                <c:pt idx="36">
                  <c:v>6/26/2026</c:v>
                </c:pt>
              </c:strCache>
            </c:strRef>
          </c:cat>
          <c:val>
            <c:numRef>
              <c:f>NittyGrittySheet!$B$126:$AL$126</c:f>
              <c:numCache>
                <c:formatCode>0.00%</c:formatCode>
                <c:ptCount val="37"/>
                <c:pt idx="0">
                  <c:v>0.19120000000000001</c:v>
                </c:pt>
                <c:pt idx="1">
                  <c:v>0.17910000000000001</c:v>
                </c:pt>
                <c:pt idx="2">
                  <c:v>0.14929999999999999</c:v>
                </c:pt>
                <c:pt idx="3">
                  <c:v>0.1515</c:v>
                </c:pt>
                <c:pt idx="4">
                  <c:v>0.16669999999999999</c:v>
                </c:pt>
                <c:pt idx="5">
                  <c:v>0.16669999999999999</c:v>
                </c:pt>
                <c:pt idx="6">
                  <c:v>0.18179999999999999</c:v>
                </c:pt>
                <c:pt idx="7">
                  <c:v>0.18179999999999999</c:v>
                </c:pt>
                <c:pt idx="8">
                  <c:v>0.19120000000000001</c:v>
                </c:pt>
                <c:pt idx="9">
                  <c:v>0.2029</c:v>
                </c:pt>
                <c:pt idx="10">
                  <c:v>0.24640000000000001</c:v>
                </c:pt>
                <c:pt idx="11">
                  <c:v>0.24640000000000001</c:v>
                </c:pt>
                <c:pt idx="12">
                  <c:v>0.25</c:v>
                </c:pt>
                <c:pt idx="13">
                  <c:v>0.27539999999999998</c:v>
                </c:pt>
                <c:pt idx="14">
                  <c:v>0.30430000000000001</c:v>
                </c:pt>
                <c:pt idx="15">
                  <c:v>0.31879999999999997</c:v>
                </c:pt>
                <c:pt idx="16">
                  <c:v>0.31879999999999997</c:v>
                </c:pt>
                <c:pt idx="17">
                  <c:v>0.32840000000000003</c:v>
                </c:pt>
                <c:pt idx="18">
                  <c:v>0.32840000000000003</c:v>
                </c:pt>
                <c:pt idx="19">
                  <c:v>0.34329999999999999</c:v>
                </c:pt>
                <c:pt idx="20">
                  <c:v>0.34329999999999999</c:v>
                </c:pt>
                <c:pt idx="21">
                  <c:v>0.37309999999999999</c:v>
                </c:pt>
                <c:pt idx="22">
                  <c:v>0.37309999999999999</c:v>
                </c:pt>
                <c:pt idx="23">
                  <c:v>0.37309999999999999</c:v>
                </c:pt>
                <c:pt idx="24">
                  <c:v>0.37309999999999999</c:v>
                </c:pt>
                <c:pt idx="25">
                  <c:v>0.46879999999999999</c:v>
                </c:pt>
                <c:pt idx="26">
                  <c:v>0.4844</c:v>
                </c:pt>
                <c:pt idx="27">
                  <c:v>0.51559999999999995</c:v>
                </c:pt>
                <c:pt idx="28">
                  <c:v>0.51559999999999995</c:v>
                </c:pt>
                <c:pt idx="29">
                  <c:v>0.54689999999999994</c:v>
                </c:pt>
                <c:pt idx="30">
                  <c:v>0.55559999999999998</c:v>
                </c:pt>
                <c:pt idx="31">
                  <c:v>0.60319999999999996</c:v>
                </c:pt>
                <c:pt idx="32">
                  <c:v>0.629</c:v>
                </c:pt>
                <c:pt idx="33">
                  <c:v>0.629</c:v>
                </c:pt>
                <c:pt idx="34">
                  <c:v>0.6613</c:v>
                </c:pt>
                <c:pt idx="35">
                  <c:v>0.68849999999999989</c:v>
                </c:pt>
                <c:pt idx="36">
                  <c:v>0.68849999999999989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03-4589-959E-B1C9C18AB5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</a:t>
            </a:r>
            <a:r>
              <a:rPr lang="en-US" baseline="0"/>
              <a:t> Search Status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NittyGrittySheet!$A$129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NittyGrittySheet!$B$128:$AL$128</c:f>
              <c:strCache>
                <c:ptCount val="37"/>
                <c:pt idx="0">
                  <c:v>10/13/2025</c:v>
                </c:pt>
                <c:pt idx="1">
                  <c:v>10/17/2025</c:v>
                </c:pt>
                <c:pt idx="2">
                  <c:v>10/24/2025</c:v>
                </c:pt>
                <c:pt idx="3">
                  <c:v>10/31/2025</c:v>
                </c:pt>
                <c:pt idx="4">
                  <c:v>11/7/2025</c:v>
                </c:pt>
                <c:pt idx="5">
                  <c:v>11/14/2025</c:v>
                </c:pt>
                <c:pt idx="6">
                  <c:v>11/21/2025</c:v>
                </c:pt>
                <c:pt idx="7">
                  <c:v>11/28/2025</c:v>
                </c:pt>
                <c:pt idx="8">
                  <c:v>12/5/2025</c:v>
                </c:pt>
                <c:pt idx="9">
                  <c:v>12/12/2025</c:v>
                </c:pt>
                <c:pt idx="10">
                  <c:v>12/19/2025</c:v>
                </c:pt>
                <c:pt idx="11">
                  <c:v>12/26/2025</c:v>
                </c:pt>
                <c:pt idx="12">
                  <c:v>1/2/2026</c:v>
                </c:pt>
                <c:pt idx="13">
                  <c:v>1/9/2026</c:v>
                </c:pt>
                <c:pt idx="14">
                  <c:v>1/16/2026</c:v>
                </c:pt>
                <c:pt idx="15">
                  <c:v>1/23/2026</c:v>
                </c:pt>
                <c:pt idx="16">
                  <c:v>1/30/2026</c:v>
                </c:pt>
                <c:pt idx="17">
                  <c:v>2/6/2026</c:v>
                </c:pt>
                <c:pt idx="18">
                  <c:v>2/13/2026</c:v>
                </c:pt>
                <c:pt idx="19">
                  <c:v>2/20/2026</c:v>
                </c:pt>
                <c:pt idx="20">
                  <c:v>2/27/2026</c:v>
                </c:pt>
                <c:pt idx="21">
                  <c:v>3/13/2026</c:v>
                </c:pt>
                <c:pt idx="22">
                  <c:v>3/20/2026</c:v>
                </c:pt>
                <c:pt idx="23">
                  <c:v>3/27/2026</c:v>
                </c:pt>
                <c:pt idx="24">
                  <c:v>4/3/2026</c:v>
                </c:pt>
                <c:pt idx="25">
                  <c:v>4/10/2026</c:v>
                </c:pt>
                <c:pt idx="26">
                  <c:v>4/17/2026</c:v>
                </c:pt>
                <c:pt idx="27">
                  <c:v>4/24/2026</c:v>
                </c:pt>
                <c:pt idx="28">
                  <c:v>5/1/2026</c:v>
                </c:pt>
                <c:pt idx="29">
                  <c:v>5/8/2026</c:v>
                </c:pt>
                <c:pt idx="30">
                  <c:v>5/15/2026</c:v>
                </c:pt>
                <c:pt idx="31">
                  <c:v>5/22/2026</c:v>
                </c:pt>
                <c:pt idx="32">
                  <c:v>05/29/2026</c:v>
                </c:pt>
                <c:pt idx="33">
                  <c:v>6/5/2026</c:v>
                </c:pt>
                <c:pt idx="34">
                  <c:v>6/12/2026</c:v>
                </c:pt>
                <c:pt idx="35">
                  <c:v>6/19/2026</c:v>
                </c:pt>
                <c:pt idx="36">
                  <c:v>6/26/2026</c:v>
                </c:pt>
              </c:strCache>
            </c:strRef>
          </c:cat>
          <c:val>
            <c:numRef>
              <c:f>NittyGrittySheet!$B$129:$AL$129</c:f>
              <c:numCache>
                <c:formatCode>General</c:formatCode>
                <c:ptCount val="37"/>
                <c:pt idx="0">
                  <c:v>13</c:v>
                </c:pt>
                <c:pt idx="1">
                  <c:v>12</c:v>
                </c:pt>
                <c:pt idx="2">
                  <c:v>10</c:v>
                </c:pt>
                <c:pt idx="3">
                  <c:v>10</c:v>
                </c:pt>
                <c:pt idx="4">
                  <c:v>11</c:v>
                </c:pt>
                <c:pt idx="5">
                  <c:v>11</c:v>
                </c:pt>
                <c:pt idx="6">
                  <c:v>12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17</c:v>
                </c:pt>
                <c:pt idx="11">
                  <c:v>17</c:v>
                </c:pt>
                <c:pt idx="12">
                  <c:v>17</c:v>
                </c:pt>
                <c:pt idx="13">
                  <c:v>19</c:v>
                </c:pt>
                <c:pt idx="14">
                  <c:v>21</c:v>
                </c:pt>
                <c:pt idx="15">
                  <c:v>22</c:v>
                </c:pt>
                <c:pt idx="16">
                  <c:v>22</c:v>
                </c:pt>
                <c:pt idx="17">
                  <c:v>22</c:v>
                </c:pt>
                <c:pt idx="18">
                  <c:v>22</c:v>
                </c:pt>
                <c:pt idx="19">
                  <c:v>23</c:v>
                </c:pt>
                <c:pt idx="20">
                  <c:v>23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30</c:v>
                </c:pt>
                <c:pt idx="26">
                  <c:v>31</c:v>
                </c:pt>
                <c:pt idx="27">
                  <c:v>33</c:v>
                </c:pt>
                <c:pt idx="28">
                  <c:v>33</c:v>
                </c:pt>
                <c:pt idx="29">
                  <c:v>35</c:v>
                </c:pt>
                <c:pt idx="30">
                  <c:v>35</c:v>
                </c:pt>
                <c:pt idx="31">
                  <c:v>38</c:v>
                </c:pt>
                <c:pt idx="32">
                  <c:v>39</c:v>
                </c:pt>
                <c:pt idx="33">
                  <c:v>39</c:v>
                </c:pt>
                <c:pt idx="34">
                  <c:v>41</c:v>
                </c:pt>
                <c:pt idx="35">
                  <c:v>42</c:v>
                </c:pt>
                <c:pt idx="36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D3-46E7-B905-CBCBC5382D83}"/>
            </c:ext>
          </c:extLst>
        </c:ser>
        <c:ser>
          <c:idx val="1"/>
          <c:order val="1"/>
          <c:tx>
            <c:strRef>
              <c:f>NittyGrittySheet!$A$130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NittyGrittySheet!$B$128:$AL$128</c:f>
              <c:strCache>
                <c:ptCount val="37"/>
                <c:pt idx="0">
                  <c:v>10/13/2025</c:v>
                </c:pt>
                <c:pt idx="1">
                  <c:v>10/17/2025</c:v>
                </c:pt>
                <c:pt idx="2">
                  <c:v>10/24/2025</c:v>
                </c:pt>
                <c:pt idx="3">
                  <c:v>10/31/2025</c:v>
                </c:pt>
                <c:pt idx="4">
                  <c:v>11/7/2025</c:v>
                </c:pt>
                <c:pt idx="5">
                  <c:v>11/14/2025</c:v>
                </c:pt>
                <c:pt idx="6">
                  <c:v>11/21/2025</c:v>
                </c:pt>
                <c:pt idx="7">
                  <c:v>11/28/2025</c:v>
                </c:pt>
                <c:pt idx="8">
                  <c:v>12/5/2025</c:v>
                </c:pt>
                <c:pt idx="9">
                  <c:v>12/12/2025</c:v>
                </c:pt>
                <c:pt idx="10">
                  <c:v>12/19/2025</c:v>
                </c:pt>
                <c:pt idx="11">
                  <c:v>12/26/2025</c:v>
                </c:pt>
                <c:pt idx="12">
                  <c:v>1/2/2026</c:v>
                </c:pt>
                <c:pt idx="13">
                  <c:v>1/9/2026</c:v>
                </c:pt>
                <c:pt idx="14">
                  <c:v>1/16/2026</c:v>
                </c:pt>
                <c:pt idx="15">
                  <c:v>1/23/2026</c:v>
                </c:pt>
                <c:pt idx="16">
                  <c:v>1/30/2026</c:v>
                </c:pt>
                <c:pt idx="17">
                  <c:v>2/6/2026</c:v>
                </c:pt>
                <c:pt idx="18">
                  <c:v>2/13/2026</c:v>
                </c:pt>
                <c:pt idx="19">
                  <c:v>2/20/2026</c:v>
                </c:pt>
                <c:pt idx="20">
                  <c:v>2/27/2026</c:v>
                </c:pt>
                <c:pt idx="21">
                  <c:v>3/13/2026</c:v>
                </c:pt>
                <c:pt idx="22">
                  <c:v>3/20/2026</c:v>
                </c:pt>
                <c:pt idx="23">
                  <c:v>3/27/2026</c:v>
                </c:pt>
                <c:pt idx="24">
                  <c:v>4/3/2026</c:v>
                </c:pt>
                <c:pt idx="25">
                  <c:v>4/10/2026</c:v>
                </c:pt>
                <c:pt idx="26">
                  <c:v>4/17/2026</c:v>
                </c:pt>
                <c:pt idx="27">
                  <c:v>4/24/2026</c:v>
                </c:pt>
                <c:pt idx="28">
                  <c:v>5/1/2026</c:v>
                </c:pt>
                <c:pt idx="29">
                  <c:v>5/8/2026</c:v>
                </c:pt>
                <c:pt idx="30">
                  <c:v>5/15/2026</c:v>
                </c:pt>
                <c:pt idx="31">
                  <c:v>5/22/2026</c:v>
                </c:pt>
                <c:pt idx="32">
                  <c:v>05/29/2026</c:v>
                </c:pt>
                <c:pt idx="33">
                  <c:v>6/5/2026</c:v>
                </c:pt>
                <c:pt idx="34">
                  <c:v>6/12/2026</c:v>
                </c:pt>
                <c:pt idx="35">
                  <c:v>6/19/2026</c:v>
                </c:pt>
                <c:pt idx="36">
                  <c:v>6/26/2026</c:v>
                </c:pt>
              </c:strCache>
            </c:strRef>
          </c:cat>
          <c:val>
            <c:numRef>
              <c:f>NittyGrittySheet!$B$130:$AL$130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17</c:v>
                </c:pt>
                <c:pt idx="3">
                  <c:v>17</c:v>
                </c:pt>
                <c:pt idx="4">
                  <c:v>17</c:v>
                </c:pt>
                <c:pt idx="5">
                  <c:v>17</c:v>
                </c:pt>
                <c:pt idx="6">
                  <c:v>17</c:v>
                </c:pt>
                <c:pt idx="7">
                  <c:v>17</c:v>
                </c:pt>
                <c:pt idx="8">
                  <c:v>21</c:v>
                </c:pt>
                <c:pt idx="9">
                  <c:v>24</c:v>
                </c:pt>
                <c:pt idx="10">
                  <c:v>22</c:v>
                </c:pt>
                <c:pt idx="11">
                  <c:v>22</c:v>
                </c:pt>
                <c:pt idx="12">
                  <c:v>23</c:v>
                </c:pt>
                <c:pt idx="13">
                  <c:v>22</c:v>
                </c:pt>
                <c:pt idx="14">
                  <c:v>22</c:v>
                </c:pt>
                <c:pt idx="15">
                  <c:v>22</c:v>
                </c:pt>
                <c:pt idx="16">
                  <c:v>22</c:v>
                </c:pt>
                <c:pt idx="17">
                  <c:v>23</c:v>
                </c:pt>
                <c:pt idx="18">
                  <c:v>23</c:v>
                </c:pt>
                <c:pt idx="19">
                  <c:v>25</c:v>
                </c:pt>
                <c:pt idx="20">
                  <c:v>26</c:v>
                </c:pt>
                <c:pt idx="21">
                  <c:v>24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24</c:v>
                </c:pt>
                <c:pt idx="26">
                  <c:v>23</c:v>
                </c:pt>
                <c:pt idx="27">
                  <c:v>23</c:v>
                </c:pt>
                <c:pt idx="28">
                  <c:v>23</c:v>
                </c:pt>
                <c:pt idx="29">
                  <c:v>23</c:v>
                </c:pt>
                <c:pt idx="30">
                  <c:v>23</c:v>
                </c:pt>
                <c:pt idx="31">
                  <c:v>23</c:v>
                </c:pt>
                <c:pt idx="32">
                  <c:v>21</c:v>
                </c:pt>
                <c:pt idx="33">
                  <c:v>21</c:v>
                </c:pt>
                <c:pt idx="34">
                  <c:v>20</c:v>
                </c:pt>
                <c:pt idx="35">
                  <c:v>18</c:v>
                </c:pt>
                <c:pt idx="36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D3-46E7-B905-CBCBC5382D83}"/>
            </c:ext>
          </c:extLst>
        </c:ser>
        <c:ser>
          <c:idx val="3"/>
          <c:order val="3"/>
          <c:tx>
            <c:strRef>
              <c:f>NittyGrittySheet!$A$132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NittyGrittySheet!$B$128:$AL$128</c:f>
              <c:strCache>
                <c:ptCount val="37"/>
                <c:pt idx="0">
                  <c:v>10/13/2025</c:v>
                </c:pt>
                <c:pt idx="1">
                  <c:v>10/17/2025</c:v>
                </c:pt>
                <c:pt idx="2">
                  <c:v>10/24/2025</c:v>
                </c:pt>
                <c:pt idx="3">
                  <c:v>10/31/2025</c:v>
                </c:pt>
                <c:pt idx="4">
                  <c:v>11/7/2025</c:v>
                </c:pt>
                <c:pt idx="5">
                  <c:v>11/14/2025</c:v>
                </c:pt>
                <c:pt idx="6">
                  <c:v>11/21/2025</c:v>
                </c:pt>
                <c:pt idx="7">
                  <c:v>11/28/2025</c:v>
                </c:pt>
                <c:pt idx="8">
                  <c:v>12/5/2025</c:v>
                </c:pt>
                <c:pt idx="9">
                  <c:v>12/12/2025</c:v>
                </c:pt>
                <c:pt idx="10">
                  <c:v>12/19/2025</c:v>
                </c:pt>
                <c:pt idx="11">
                  <c:v>12/26/2025</c:v>
                </c:pt>
                <c:pt idx="12">
                  <c:v>1/2/2026</c:v>
                </c:pt>
                <c:pt idx="13">
                  <c:v>1/9/2026</c:v>
                </c:pt>
                <c:pt idx="14">
                  <c:v>1/16/2026</c:v>
                </c:pt>
                <c:pt idx="15">
                  <c:v>1/23/2026</c:v>
                </c:pt>
                <c:pt idx="16">
                  <c:v>1/30/2026</c:v>
                </c:pt>
                <c:pt idx="17">
                  <c:v>2/6/2026</c:v>
                </c:pt>
                <c:pt idx="18">
                  <c:v>2/13/2026</c:v>
                </c:pt>
                <c:pt idx="19">
                  <c:v>2/20/2026</c:v>
                </c:pt>
                <c:pt idx="20">
                  <c:v>2/27/2026</c:v>
                </c:pt>
                <c:pt idx="21">
                  <c:v>3/13/2026</c:v>
                </c:pt>
                <c:pt idx="22">
                  <c:v>3/20/2026</c:v>
                </c:pt>
                <c:pt idx="23">
                  <c:v>3/27/2026</c:v>
                </c:pt>
                <c:pt idx="24">
                  <c:v>4/3/2026</c:v>
                </c:pt>
                <c:pt idx="25">
                  <c:v>4/10/2026</c:v>
                </c:pt>
                <c:pt idx="26">
                  <c:v>4/17/2026</c:v>
                </c:pt>
                <c:pt idx="27">
                  <c:v>4/24/2026</c:v>
                </c:pt>
                <c:pt idx="28">
                  <c:v>5/1/2026</c:v>
                </c:pt>
                <c:pt idx="29">
                  <c:v>5/8/2026</c:v>
                </c:pt>
                <c:pt idx="30">
                  <c:v>5/15/2026</c:v>
                </c:pt>
                <c:pt idx="31">
                  <c:v>5/22/2026</c:v>
                </c:pt>
                <c:pt idx="32">
                  <c:v>05/29/2026</c:v>
                </c:pt>
                <c:pt idx="33">
                  <c:v>6/5/2026</c:v>
                </c:pt>
                <c:pt idx="34">
                  <c:v>6/12/2026</c:v>
                </c:pt>
                <c:pt idx="35">
                  <c:v>6/19/2026</c:v>
                </c:pt>
                <c:pt idx="36">
                  <c:v>6/26/2026</c:v>
                </c:pt>
              </c:strCache>
            </c:strRef>
          </c:cat>
          <c:val>
            <c:numRef>
              <c:f>NittyGrittySheet!$B$132:$AL$132</c:f>
              <c:numCache>
                <c:formatCode>General</c:formatCode>
                <c:ptCount val="37"/>
                <c:pt idx="0">
                  <c:v>41</c:v>
                </c:pt>
                <c:pt idx="1">
                  <c:v>40</c:v>
                </c:pt>
                <c:pt idx="2">
                  <c:v>40</c:v>
                </c:pt>
                <c:pt idx="3">
                  <c:v>39</c:v>
                </c:pt>
                <c:pt idx="4">
                  <c:v>38</c:v>
                </c:pt>
                <c:pt idx="5">
                  <c:v>38</c:v>
                </c:pt>
                <c:pt idx="6">
                  <c:v>37</c:v>
                </c:pt>
                <c:pt idx="7">
                  <c:v>37</c:v>
                </c:pt>
                <c:pt idx="8">
                  <c:v>34</c:v>
                </c:pt>
                <c:pt idx="9">
                  <c:v>31</c:v>
                </c:pt>
                <c:pt idx="10">
                  <c:v>30</c:v>
                </c:pt>
                <c:pt idx="11">
                  <c:v>30</c:v>
                </c:pt>
                <c:pt idx="12">
                  <c:v>28</c:v>
                </c:pt>
                <c:pt idx="13">
                  <c:v>28</c:v>
                </c:pt>
                <c:pt idx="14">
                  <c:v>26</c:v>
                </c:pt>
                <c:pt idx="15">
                  <c:v>25</c:v>
                </c:pt>
                <c:pt idx="16">
                  <c:v>25</c:v>
                </c:pt>
                <c:pt idx="17">
                  <c:v>22</c:v>
                </c:pt>
                <c:pt idx="18">
                  <c:v>22</c:v>
                </c:pt>
                <c:pt idx="19">
                  <c:v>19</c:v>
                </c:pt>
                <c:pt idx="20">
                  <c:v>18</c:v>
                </c:pt>
                <c:pt idx="21">
                  <c:v>18</c:v>
                </c:pt>
                <c:pt idx="22">
                  <c:v>17</c:v>
                </c:pt>
                <c:pt idx="23">
                  <c:v>17</c:v>
                </c:pt>
                <c:pt idx="24">
                  <c:v>17</c:v>
                </c:pt>
                <c:pt idx="25">
                  <c:v>10</c:v>
                </c:pt>
                <c:pt idx="26">
                  <c:v>10</c:v>
                </c:pt>
                <c:pt idx="27">
                  <c:v>8</c:v>
                </c:pt>
                <c:pt idx="28">
                  <c:v>8</c:v>
                </c:pt>
                <c:pt idx="29">
                  <c:v>6</c:v>
                </c:pt>
                <c:pt idx="30">
                  <c:v>5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1D3-46E7-B905-CBCBC5382D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NittyGrittySheet!$A$131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NittyGrittySheet!$B$128:$AL$128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NittyGrittySheet!$B$131:$AL$131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D1D3-46E7-B905-CBCBC5382D83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NittyGrittySheet!$A$133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NittyGrittySheet!$B$128:$AL$128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NittyGrittySheet!$B$133:$AL$133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3</c:v>
                      </c:pt>
                      <c:pt idx="8">
                        <c:v>3</c:v>
                      </c:pt>
                      <c:pt idx="9">
                        <c:v>3</c:v>
                      </c:pt>
                      <c:pt idx="10">
                        <c:v>3</c:v>
                      </c:pt>
                      <c:pt idx="11">
                        <c:v>3</c:v>
                      </c:pt>
                      <c:pt idx="12">
                        <c:v>4</c:v>
                      </c:pt>
                      <c:pt idx="13">
                        <c:v>4</c:v>
                      </c:pt>
                      <c:pt idx="14">
                        <c:v>4</c:v>
                      </c:pt>
                      <c:pt idx="15">
                        <c:v>4</c:v>
                      </c:pt>
                      <c:pt idx="16">
                        <c:v>4</c:v>
                      </c:pt>
                      <c:pt idx="17">
                        <c:v>4</c:v>
                      </c:pt>
                      <c:pt idx="18">
                        <c:v>4</c:v>
                      </c:pt>
                      <c:pt idx="19">
                        <c:v>4</c:v>
                      </c:pt>
                      <c:pt idx="20">
                        <c:v>4</c:v>
                      </c:pt>
                      <c:pt idx="21">
                        <c:v>4</c:v>
                      </c:pt>
                      <c:pt idx="22">
                        <c:v>4</c:v>
                      </c:pt>
                      <c:pt idx="23">
                        <c:v>4</c:v>
                      </c:pt>
                      <c:pt idx="24">
                        <c:v>4</c:v>
                      </c:pt>
                      <c:pt idx="25">
                        <c:v>4</c:v>
                      </c:pt>
                      <c:pt idx="26">
                        <c:v>4</c:v>
                      </c:pt>
                      <c:pt idx="27">
                        <c:v>4</c:v>
                      </c:pt>
                      <c:pt idx="28">
                        <c:v>4</c:v>
                      </c:pt>
                      <c:pt idx="29">
                        <c:v>4</c:v>
                      </c:pt>
                      <c:pt idx="30">
                        <c:v>4</c:v>
                      </c:pt>
                      <c:pt idx="31">
                        <c:v>4</c:v>
                      </c:pt>
                      <c:pt idx="32">
                        <c:v>4</c:v>
                      </c:pt>
                      <c:pt idx="33">
                        <c:v>4</c:v>
                      </c:pt>
                      <c:pt idx="34">
                        <c:v>4</c:v>
                      </c:pt>
                      <c:pt idx="35">
                        <c:v>4</c:v>
                      </c:pt>
                      <c:pt idx="36">
                        <c:v>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D1D3-46E7-B905-CBCBC5382D83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NittyGrittySheet!$A$134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NittyGrittySheet!$B$128:$AL$128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NittyGrittySheet!$B$134:$AL$134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3</c:v>
                      </c:pt>
                      <c:pt idx="26">
                        <c:v>3</c:v>
                      </c:pt>
                      <c:pt idx="27">
                        <c:v>3</c:v>
                      </c:pt>
                      <c:pt idx="28">
                        <c:v>3</c:v>
                      </c:pt>
                      <c:pt idx="29">
                        <c:v>3</c:v>
                      </c:pt>
                      <c:pt idx="30">
                        <c:v>3</c:v>
                      </c:pt>
                      <c:pt idx="31">
                        <c:v>3</c:v>
                      </c:pt>
                      <c:pt idx="32">
                        <c:v>3</c:v>
                      </c:pt>
                      <c:pt idx="33">
                        <c:v>3</c:v>
                      </c:pt>
                      <c:pt idx="34">
                        <c:v>3</c:v>
                      </c:pt>
                      <c:pt idx="35">
                        <c:v>3</c:v>
                      </c:pt>
                      <c:pt idx="36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D1D3-46E7-B905-CBCBC5382D83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NittyGrittySheet!$A$135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NittyGrittySheet!$B$128:$AL$128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NittyGrittySheet!$B$135:$AL$135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D1D3-46E7-B905-CBCBC5382D83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NittyGrittySheet!$A$136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NittyGrittySheet!$B$128:$AL$128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NittyGrittySheet!$B$136:$AL$136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1D3-46E7-B905-CBCBC5382D83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NittyGrittySheet!$A$137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NittyGrittySheet!$B$128:$AL$128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NittyGrittySheet!$B$137:$AL$137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D1D3-46E7-B905-CBCBC5382D83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NittyGrittySheet!$A$138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NittyGrittySheet!$B$128:$AL$128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NittyGrittySheet!$B$138:$AL$138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2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D1D3-46E7-B905-CBCBC5382D83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NittyGrittySheet!$A$139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NittyGrittySheet!$B$128:$AL$128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NittyGrittySheet!$B$139:$AL$139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70</c:v>
                      </c:pt>
                      <c:pt idx="1">
                        <c:v>69</c:v>
                      </c:pt>
                      <c:pt idx="2">
                        <c:v>70</c:v>
                      </c:pt>
                      <c:pt idx="3">
                        <c:v>70</c:v>
                      </c:pt>
                      <c:pt idx="4">
                        <c:v>70</c:v>
                      </c:pt>
                      <c:pt idx="5">
                        <c:v>70</c:v>
                      </c:pt>
                      <c:pt idx="6">
                        <c:v>70</c:v>
                      </c:pt>
                      <c:pt idx="7">
                        <c:v>70</c:v>
                      </c:pt>
                      <c:pt idx="8">
                        <c:v>72</c:v>
                      </c:pt>
                      <c:pt idx="9">
                        <c:v>73</c:v>
                      </c:pt>
                      <c:pt idx="10">
                        <c:v>73</c:v>
                      </c:pt>
                      <c:pt idx="11">
                        <c:v>73</c:v>
                      </c:pt>
                      <c:pt idx="12">
                        <c:v>73</c:v>
                      </c:pt>
                      <c:pt idx="13">
                        <c:v>74</c:v>
                      </c:pt>
                      <c:pt idx="14">
                        <c:v>74</c:v>
                      </c:pt>
                      <c:pt idx="15">
                        <c:v>74</c:v>
                      </c:pt>
                      <c:pt idx="16">
                        <c:v>74</c:v>
                      </c:pt>
                      <c:pt idx="17">
                        <c:v>73</c:v>
                      </c:pt>
                      <c:pt idx="18">
                        <c:v>73</c:v>
                      </c:pt>
                      <c:pt idx="19">
                        <c:v>73</c:v>
                      </c:pt>
                      <c:pt idx="20">
                        <c:v>73</c:v>
                      </c:pt>
                      <c:pt idx="21">
                        <c:v>73</c:v>
                      </c:pt>
                      <c:pt idx="22">
                        <c:v>73</c:v>
                      </c:pt>
                      <c:pt idx="23">
                        <c:v>73</c:v>
                      </c:pt>
                      <c:pt idx="24">
                        <c:v>73</c:v>
                      </c:pt>
                      <c:pt idx="25">
                        <c:v>72</c:v>
                      </c:pt>
                      <c:pt idx="26">
                        <c:v>72</c:v>
                      </c:pt>
                      <c:pt idx="27">
                        <c:v>72</c:v>
                      </c:pt>
                      <c:pt idx="28">
                        <c:v>72</c:v>
                      </c:pt>
                      <c:pt idx="29">
                        <c:v>72</c:v>
                      </c:pt>
                      <c:pt idx="30">
                        <c:v>71</c:v>
                      </c:pt>
                      <c:pt idx="31">
                        <c:v>71</c:v>
                      </c:pt>
                      <c:pt idx="32">
                        <c:v>71</c:v>
                      </c:pt>
                      <c:pt idx="33">
                        <c:v>71</c:v>
                      </c:pt>
                      <c:pt idx="34">
                        <c:v>71</c:v>
                      </c:pt>
                      <c:pt idx="35">
                        <c:v>70</c:v>
                      </c:pt>
                      <c:pt idx="36">
                        <c:v>70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D1D3-46E7-B905-CBCBC5382D83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% Placed 5 Year Summary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BSIS!$O$24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BSIS!$M$25:$M$38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BSIS!$O$25:$O$38</c:f>
              <c:numCache>
                <c:formatCode>0.00%</c:formatCode>
                <c:ptCount val="14"/>
                <c:pt idx="0">
                  <c:v>0.04</c:v>
                </c:pt>
                <c:pt idx="1">
                  <c:v>0.06</c:v>
                </c:pt>
                <c:pt idx="2">
                  <c:v>0.1</c:v>
                </c:pt>
                <c:pt idx="3">
                  <c:v>0.12</c:v>
                </c:pt>
                <c:pt idx="4">
                  <c:v>0.17</c:v>
                </c:pt>
                <c:pt idx="5">
                  <c:v>0.27</c:v>
                </c:pt>
                <c:pt idx="6">
                  <c:v>0.32</c:v>
                </c:pt>
                <c:pt idx="7">
                  <c:v>0.44</c:v>
                </c:pt>
                <c:pt idx="8">
                  <c:v>0.55000000000000004</c:v>
                </c:pt>
                <c:pt idx="9">
                  <c:v>0.77</c:v>
                </c:pt>
                <c:pt idx="10">
                  <c:v>0.84</c:v>
                </c:pt>
                <c:pt idx="11">
                  <c:v>0.88</c:v>
                </c:pt>
                <c:pt idx="12">
                  <c:v>0.91</c:v>
                </c:pt>
                <c:pt idx="13">
                  <c:v>0.92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F8-4422-98F2-4FDC5532DE75}"/>
            </c:ext>
          </c:extLst>
        </c:ser>
        <c:ser>
          <c:idx val="2"/>
          <c:order val="1"/>
          <c:tx>
            <c:strRef>
              <c:f>BSIS!$P$24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BSIS!$M$25:$M$38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BSIS!$P$25:$P$38</c:f>
              <c:numCache>
                <c:formatCode>0.00%</c:formatCode>
                <c:ptCount val="14"/>
                <c:pt idx="0">
                  <c:v>7.0588235294117646E-2</c:v>
                </c:pt>
                <c:pt idx="1">
                  <c:v>0.11764705882352941</c:v>
                </c:pt>
                <c:pt idx="2">
                  <c:v>0.17647058823529413</c:v>
                </c:pt>
                <c:pt idx="3">
                  <c:v>0.18823529411764706</c:v>
                </c:pt>
                <c:pt idx="4">
                  <c:v>0.22352941176470589</c:v>
                </c:pt>
                <c:pt idx="5">
                  <c:v>0.31764705882352939</c:v>
                </c:pt>
                <c:pt idx="6">
                  <c:v>0.41176470588235292</c:v>
                </c:pt>
                <c:pt idx="7">
                  <c:v>0.45882352941176469</c:v>
                </c:pt>
                <c:pt idx="8">
                  <c:v>0.49411764705882355</c:v>
                </c:pt>
                <c:pt idx="9">
                  <c:v>0.50588235294117645</c:v>
                </c:pt>
                <c:pt idx="10">
                  <c:v>0.52941176470588236</c:v>
                </c:pt>
                <c:pt idx="11">
                  <c:v>0.70588235294117652</c:v>
                </c:pt>
                <c:pt idx="12">
                  <c:v>0.74117647058823533</c:v>
                </c:pt>
                <c:pt idx="13">
                  <c:v>0.74117647058823533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41F8-4422-98F2-4FDC5532DE75}"/>
            </c:ext>
          </c:extLst>
        </c:ser>
        <c:ser>
          <c:idx val="3"/>
          <c:order val="2"/>
          <c:tx>
            <c:strRef>
              <c:f>BSIS!$Q$24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BSIS!$M$25:$M$38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BSIS!$Q$25:$Q$38</c:f>
              <c:numCache>
                <c:formatCode>0.00%</c:formatCode>
                <c:ptCount val="14"/>
                <c:pt idx="0">
                  <c:v>6.8181818181818177E-2</c:v>
                </c:pt>
                <c:pt idx="1">
                  <c:v>0.13636363636363635</c:v>
                </c:pt>
                <c:pt idx="2">
                  <c:v>0.18181818181818182</c:v>
                </c:pt>
                <c:pt idx="3">
                  <c:v>0.26136363636363635</c:v>
                </c:pt>
                <c:pt idx="4">
                  <c:v>0.28409090909090912</c:v>
                </c:pt>
                <c:pt idx="5">
                  <c:v>0.29545454545454547</c:v>
                </c:pt>
                <c:pt idx="6">
                  <c:v>0.31818181818181818</c:v>
                </c:pt>
                <c:pt idx="7">
                  <c:v>0.39772727272727271</c:v>
                </c:pt>
                <c:pt idx="8">
                  <c:v>0.43181818181818182</c:v>
                </c:pt>
                <c:pt idx="9">
                  <c:v>0.61363636363636365</c:v>
                </c:pt>
                <c:pt idx="10">
                  <c:v>0.75</c:v>
                </c:pt>
                <c:pt idx="11">
                  <c:v>0.89772727272727271</c:v>
                </c:pt>
                <c:pt idx="12">
                  <c:v>0.90909090909090906</c:v>
                </c:pt>
                <c:pt idx="13">
                  <c:v>0.90909090909090906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41F8-4422-98F2-4FDC5532DE75}"/>
            </c:ext>
          </c:extLst>
        </c:ser>
        <c:ser>
          <c:idx val="4"/>
          <c:order val="3"/>
          <c:tx>
            <c:strRef>
              <c:f>BSIS!$R$24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BSIS!$M$25:$M$38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BSIS!$R$25:$R$38</c:f>
              <c:numCache>
                <c:formatCode>0.00%</c:formatCode>
                <c:ptCount val="14"/>
                <c:pt idx="0">
                  <c:v>2.564102564102564E-2</c:v>
                </c:pt>
                <c:pt idx="1">
                  <c:v>5.128205128205128E-2</c:v>
                </c:pt>
                <c:pt idx="2">
                  <c:v>0.11538461538461539</c:v>
                </c:pt>
                <c:pt idx="3">
                  <c:v>0.24358974358974358</c:v>
                </c:pt>
                <c:pt idx="4">
                  <c:v>0.29487179487179488</c:v>
                </c:pt>
                <c:pt idx="5">
                  <c:v>0.38461538461538464</c:v>
                </c:pt>
                <c:pt idx="6">
                  <c:v>0.41025641025641024</c:v>
                </c:pt>
                <c:pt idx="7">
                  <c:v>0.47435897435897434</c:v>
                </c:pt>
                <c:pt idx="8">
                  <c:v>0.5641025641025641</c:v>
                </c:pt>
                <c:pt idx="9">
                  <c:v>0.61538461538461542</c:v>
                </c:pt>
                <c:pt idx="10">
                  <c:v>0.69230769230769229</c:v>
                </c:pt>
                <c:pt idx="11">
                  <c:v>0.91025641025641024</c:v>
                </c:pt>
                <c:pt idx="12">
                  <c:v>0.92307692307692313</c:v>
                </c:pt>
                <c:pt idx="13">
                  <c:v>0.92307692307692313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41F8-4422-98F2-4FDC5532DE75}"/>
            </c:ext>
          </c:extLst>
        </c:ser>
        <c:ser>
          <c:idx val="5"/>
          <c:order val="4"/>
          <c:tx>
            <c:strRef>
              <c:f>BSIS!$S$24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BSIS!$M$25:$M$38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BSIS!$S$25:$S$38</c:f>
              <c:numCache>
                <c:formatCode>0.00%</c:formatCode>
                <c:ptCount val="14"/>
                <c:pt idx="0">
                  <c:v>6.1224489795918366E-2</c:v>
                </c:pt>
                <c:pt idx="1">
                  <c:v>0.10204081632653061</c:v>
                </c:pt>
                <c:pt idx="2">
                  <c:v>0.22448979591836735</c:v>
                </c:pt>
                <c:pt idx="3">
                  <c:v>0.40816326530612246</c:v>
                </c:pt>
                <c:pt idx="4">
                  <c:v>0.42857142857142855</c:v>
                </c:pt>
                <c:pt idx="5">
                  <c:v>0.51020408163265307</c:v>
                </c:pt>
                <c:pt idx="6">
                  <c:v>0.53061224489795922</c:v>
                </c:pt>
                <c:pt idx="7">
                  <c:v>0.59183673469387754</c:v>
                </c:pt>
                <c:pt idx="8">
                  <c:v>0.65306122448979587</c:v>
                </c:pt>
                <c:pt idx="9">
                  <c:v>0.75510204081632648</c:v>
                </c:pt>
                <c:pt idx="10">
                  <c:v>0.77551020408163263</c:v>
                </c:pt>
                <c:pt idx="11">
                  <c:v>0.89795918367346939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41F8-4422-98F2-4FDC5532DE75}"/>
            </c:ext>
          </c:extLst>
        </c:ser>
        <c:ser>
          <c:idx val="0"/>
          <c:order val="5"/>
          <c:tx>
            <c:strRef>
              <c:f>BSIS!$N$24</c:f>
              <c:strCache>
                <c:ptCount val="1"/>
                <c:pt idx="0">
                  <c:v>2026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BSIS!$M$25:$M$38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BSIS!$N$25:$N$38</c:f>
              <c:numCache>
                <c:formatCode>0.00%</c:formatCode>
                <c:ptCount val="14"/>
                <c:pt idx="2">
                  <c:v>0.22639999999999999</c:v>
                </c:pt>
                <c:pt idx="3">
                  <c:v>0.30070000000000002</c:v>
                </c:pt>
                <c:pt idx="4">
                  <c:v>0.33800000000000002</c:v>
                </c:pt>
                <c:pt idx="5">
                  <c:v>0.4234</c:v>
                </c:pt>
                <c:pt idx="6">
                  <c:v>0.53910000000000002</c:v>
                </c:pt>
                <c:pt idx="7">
                  <c:v>0.63029999999999997</c:v>
                </c:pt>
                <c:pt idx="8">
                  <c:v>0.69169999999999998</c:v>
                </c:pt>
                <c:pt idx="9">
                  <c:v>0.79819999999999991</c:v>
                </c:pt>
                <c:pt idx="10">
                  <c:v>0.84109999999999996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1F8-4422-98F2-4FDC5532DE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Placement %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NittyGrittySheet!$A$143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NittyGrittySheet!$B$142:$AL$142</c:f>
              <c:strCache>
                <c:ptCount val="37"/>
                <c:pt idx="0">
                  <c:v>10/13/2025</c:v>
                </c:pt>
                <c:pt idx="1">
                  <c:v>10/17/2025</c:v>
                </c:pt>
                <c:pt idx="2">
                  <c:v>10/24/2025</c:v>
                </c:pt>
                <c:pt idx="3">
                  <c:v>10/31/2025</c:v>
                </c:pt>
                <c:pt idx="4">
                  <c:v>11/7/2025</c:v>
                </c:pt>
                <c:pt idx="5">
                  <c:v>11/14/2025</c:v>
                </c:pt>
                <c:pt idx="6">
                  <c:v>11/21/2025</c:v>
                </c:pt>
                <c:pt idx="7">
                  <c:v>11/28/2025</c:v>
                </c:pt>
                <c:pt idx="8">
                  <c:v>12/5/2025</c:v>
                </c:pt>
                <c:pt idx="9">
                  <c:v>12/12/2025</c:v>
                </c:pt>
                <c:pt idx="10">
                  <c:v>12/19/2025</c:v>
                </c:pt>
                <c:pt idx="11">
                  <c:v>12/26/2025</c:v>
                </c:pt>
                <c:pt idx="12">
                  <c:v>1/2/2026</c:v>
                </c:pt>
                <c:pt idx="13">
                  <c:v>1/9/2026</c:v>
                </c:pt>
                <c:pt idx="14">
                  <c:v>1/16/2026</c:v>
                </c:pt>
                <c:pt idx="15">
                  <c:v>1/23/2026</c:v>
                </c:pt>
                <c:pt idx="16">
                  <c:v>1/30/2026</c:v>
                </c:pt>
                <c:pt idx="17">
                  <c:v>2/6/2026</c:v>
                </c:pt>
                <c:pt idx="18">
                  <c:v>2/13/2026</c:v>
                </c:pt>
                <c:pt idx="19">
                  <c:v>2/20/2026</c:v>
                </c:pt>
                <c:pt idx="20">
                  <c:v>2/27/2026</c:v>
                </c:pt>
                <c:pt idx="21">
                  <c:v>3/13/2026</c:v>
                </c:pt>
                <c:pt idx="22">
                  <c:v>3/20/2026</c:v>
                </c:pt>
                <c:pt idx="23">
                  <c:v>3/27/2026</c:v>
                </c:pt>
                <c:pt idx="24">
                  <c:v>4/3/2026</c:v>
                </c:pt>
                <c:pt idx="25">
                  <c:v>4/10/2026</c:v>
                </c:pt>
                <c:pt idx="26">
                  <c:v>4/17/2026</c:v>
                </c:pt>
                <c:pt idx="27">
                  <c:v>4/24/2026</c:v>
                </c:pt>
                <c:pt idx="28">
                  <c:v>5/1/2026</c:v>
                </c:pt>
                <c:pt idx="29">
                  <c:v>5/8/2026</c:v>
                </c:pt>
                <c:pt idx="30">
                  <c:v>5/15/2026</c:v>
                </c:pt>
                <c:pt idx="31">
                  <c:v>5/22/2026</c:v>
                </c:pt>
                <c:pt idx="32">
                  <c:v>05/29/2026</c:v>
                </c:pt>
                <c:pt idx="33">
                  <c:v>6/5/2026</c:v>
                </c:pt>
                <c:pt idx="34">
                  <c:v>6/12/2026</c:v>
                </c:pt>
                <c:pt idx="35">
                  <c:v>6/19/2026</c:v>
                </c:pt>
                <c:pt idx="36">
                  <c:v>6/26/2026</c:v>
                </c:pt>
              </c:strCache>
            </c:strRef>
          </c:cat>
          <c:val>
            <c:numRef>
              <c:f>NittyGrittySheet!$B$143:$AL$143</c:f>
              <c:numCache>
                <c:formatCode>0.00%</c:formatCode>
                <c:ptCount val="37"/>
                <c:pt idx="0">
                  <c:v>0.1925</c:v>
                </c:pt>
                <c:pt idx="1">
                  <c:v>0.1938</c:v>
                </c:pt>
                <c:pt idx="2">
                  <c:v>0.2</c:v>
                </c:pt>
                <c:pt idx="3">
                  <c:v>0.22639999999999999</c:v>
                </c:pt>
                <c:pt idx="4">
                  <c:v>0.25</c:v>
                </c:pt>
                <c:pt idx="5">
                  <c:v>0.26</c:v>
                </c:pt>
                <c:pt idx="6">
                  <c:v>0.27700000000000002</c:v>
                </c:pt>
                <c:pt idx="7">
                  <c:v>0.30070000000000002</c:v>
                </c:pt>
                <c:pt idx="8">
                  <c:v>0.32140000000000002</c:v>
                </c:pt>
                <c:pt idx="9">
                  <c:v>0.33100000000000002</c:v>
                </c:pt>
                <c:pt idx="10">
                  <c:v>0.3357</c:v>
                </c:pt>
                <c:pt idx="11">
                  <c:v>0.33800000000000002</c:v>
                </c:pt>
                <c:pt idx="12">
                  <c:v>0.34510000000000002</c:v>
                </c:pt>
                <c:pt idx="13">
                  <c:v>0.35420000000000001</c:v>
                </c:pt>
                <c:pt idx="14">
                  <c:v>0.38729999999999998</c:v>
                </c:pt>
                <c:pt idx="15">
                  <c:v>0.38300000000000001</c:v>
                </c:pt>
                <c:pt idx="16">
                  <c:v>0.4234</c:v>
                </c:pt>
                <c:pt idx="17">
                  <c:v>0.44529999999999997</c:v>
                </c:pt>
                <c:pt idx="18">
                  <c:v>0.47449999999999998</c:v>
                </c:pt>
                <c:pt idx="19">
                  <c:v>0.47060000000000002</c:v>
                </c:pt>
                <c:pt idx="20">
                  <c:v>0.54330000000000001</c:v>
                </c:pt>
                <c:pt idx="21">
                  <c:v>0.58730000000000004</c:v>
                </c:pt>
                <c:pt idx="22">
                  <c:v>0.58730000000000004</c:v>
                </c:pt>
                <c:pt idx="23">
                  <c:v>0.61480000000000001</c:v>
                </c:pt>
                <c:pt idx="24">
                  <c:v>0.63029999999999997</c:v>
                </c:pt>
                <c:pt idx="25">
                  <c:v>0.63870000000000005</c:v>
                </c:pt>
                <c:pt idx="26">
                  <c:v>0.6371</c:v>
                </c:pt>
                <c:pt idx="27">
                  <c:v>0.68330000000000002</c:v>
                </c:pt>
                <c:pt idx="28">
                  <c:v>0.69750000000000001</c:v>
                </c:pt>
                <c:pt idx="29">
                  <c:v>0.71930000000000005</c:v>
                </c:pt>
                <c:pt idx="30">
                  <c:v>0.7256999999999999</c:v>
                </c:pt>
                <c:pt idx="31">
                  <c:v>0.74340000000000006</c:v>
                </c:pt>
                <c:pt idx="32">
                  <c:v>0.79819999999999991</c:v>
                </c:pt>
                <c:pt idx="33">
                  <c:v>0.80730000000000002</c:v>
                </c:pt>
                <c:pt idx="34">
                  <c:v>0.80730000000000002</c:v>
                </c:pt>
                <c:pt idx="35">
                  <c:v>0.80730000000000002</c:v>
                </c:pt>
                <c:pt idx="36">
                  <c:v>0.84109999999999996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78-4AFE-8C81-ECE94EB0A2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Search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NittyGrittySheet!$A$146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NittyGrittySheet!$B$145:$AL$145</c:f>
              <c:strCache>
                <c:ptCount val="37"/>
                <c:pt idx="0">
                  <c:v>10/13/2025</c:v>
                </c:pt>
                <c:pt idx="1">
                  <c:v>10/17/2025</c:v>
                </c:pt>
                <c:pt idx="2">
                  <c:v>10/24/2025</c:v>
                </c:pt>
                <c:pt idx="3">
                  <c:v>10/31/2025</c:v>
                </c:pt>
                <c:pt idx="4">
                  <c:v>11/7/2025</c:v>
                </c:pt>
                <c:pt idx="5">
                  <c:v>11/14/2025</c:v>
                </c:pt>
                <c:pt idx="6">
                  <c:v>11/21/2025</c:v>
                </c:pt>
                <c:pt idx="7">
                  <c:v>11/28/2025</c:v>
                </c:pt>
                <c:pt idx="8">
                  <c:v>12/5/2025</c:v>
                </c:pt>
                <c:pt idx="9">
                  <c:v>12/12/2025</c:v>
                </c:pt>
                <c:pt idx="10">
                  <c:v>12/19/2025</c:v>
                </c:pt>
                <c:pt idx="11">
                  <c:v>12/26/2025</c:v>
                </c:pt>
                <c:pt idx="12">
                  <c:v>1/2/2026</c:v>
                </c:pt>
                <c:pt idx="13">
                  <c:v>1/9/2026</c:v>
                </c:pt>
                <c:pt idx="14">
                  <c:v>1/16/2026</c:v>
                </c:pt>
                <c:pt idx="15">
                  <c:v>1/23/2026</c:v>
                </c:pt>
                <c:pt idx="16">
                  <c:v>1/30/2026</c:v>
                </c:pt>
                <c:pt idx="17">
                  <c:v>2/6/2026</c:v>
                </c:pt>
                <c:pt idx="18">
                  <c:v>2/13/2026</c:v>
                </c:pt>
                <c:pt idx="19">
                  <c:v>2/20/2026</c:v>
                </c:pt>
                <c:pt idx="20">
                  <c:v>2/27/2026</c:v>
                </c:pt>
                <c:pt idx="21">
                  <c:v>3/13/2026</c:v>
                </c:pt>
                <c:pt idx="22">
                  <c:v>3/20/2026</c:v>
                </c:pt>
                <c:pt idx="23">
                  <c:v>3/27/2026</c:v>
                </c:pt>
                <c:pt idx="24">
                  <c:v>4/3/2026</c:v>
                </c:pt>
                <c:pt idx="25">
                  <c:v>4/10/2026</c:v>
                </c:pt>
                <c:pt idx="26">
                  <c:v>4/17/2026</c:v>
                </c:pt>
                <c:pt idx="27">
                  <c:v>4/24/2026</c:v>
                </c:pt>
                <c:pt idx="28">
                  <c:v>5/1/2026</c:v>
                </c:pt>
                <c:pt idx="29">
                  <c:v>5/8/2026</c:v>
                </c:pt>
                <c:pt idx="30">
                  <c:v>5/15/2026</c:v>
                </c:pt>
                <c:pt idx="31">
                  <c:v>5/22/2026</c:v>
                </c:pt>
                <c:pt idx="32">
                  <c:v>05/29/2026</c:v>
                </c:pt>
                <c:pt idx="33">
                  <c:v>6/5/2026</c:v>
                </c:pt>
                <c:pt idx="34">
                  <c:v>6/12/2026</c:v>
                </c:pt>
                <c:pt idx="35">
                  <c:v>6/19/2026</c:v>
                </c:pt>
                <c:pt idx="36">
                  <c:v>6/26/2026</c:v>
                </c:pt>
              </c:strCache>
            </c:strRef>
          </c:cat>
          <c:val>
            <c:numRef>
              <c:f>NittyGrittySheet!$B$146:$AL$146</c:f>
              <c:numCache>
                <c:formatCode>General</c:formatCode>
                <c:ptCount val="37"/>
                <c:pt idx="0">
                  <c:v>31</c:v>
                </c:pt>
                <c:pt idx="1">
                  <c:v>31</c:v>
                </c:pt>
                <c:pt idx="2">
                  <c:v>32</c:v>
                </c:pt>
                <c:pt idx="3">
                  <c:v>36</c:v>
                </c:pt>
                <c:pt idx="4">
                  <c:v>38</c:v>
                </c:pt>
                <c:pt idx="5">
                  <c:v>39</c:v>
                </c:pt>
                <c:pt idx="6">
                  <c:v>41</c:v>
                </c:pt>
                <c:pt idx="7">
                  <c:v>43</c:v>
                </c:pt>
                <c:pt idx="8">
                  <c:v>45</c:v>
                </c:pt>
                <c:pt idx="9">
                  <c:v>47</c:v>
                </c:pt>
                <c:pt idx="10">
                  <c:v>48</c:v>
                </c:pt>
                <c:pt idx="11">
                  <c:v>48</c:v>
                </c:pt>
                <c:pt idx="12">
                  <c:v>49</c:v>
                </c:pt>
                <c:pt idx="13">
                  <c:v>51</c:v>
                </c:pt>
                <c:pt idx="14">
                  <c:v>55</c:v>
                </c:pt>
                <c:pt idx="15">
                  <c:v>54</c:v>
                </c:pt>
                <c:pt idx="16">
                  <c:v>58</c:v>
                </c:pt>
                <c:pt idx="17">
                  <c:v>61</c:v>
                </c:pt>
                <c:pt idx="18">
                  <c:v>65</c:v>
                </c:pt>
                <c:pt idx="19">
                  <c:v>64</c:v>
                </c:pt>
                <c:pt idx="20">
                  <c:v>69</c:v>
                </c:pt>
                <c:pt idx="21">
                  <c:v>74</c:v>
                </c:pt>
                <c:pt idx="22">
                  <c:v>74</c:v>
                </c:pt>
                <c:pt idx="23">
                  <c:v>75</c:v>
                </c:pt>
                <c:pt idx="24">
                  <c:v>75</c:v>
                </c:pt>
                <c:pt idx="25">
                  <c:v>76</c:v>
                </c:pt>
                <c:pt idx="26">
                  <c:v>79</c:v>
                </c:pt>
                <c:pt idx="27">
                  <c:v>82</c:v>
                </c:pt>
                <c:pt idx="28">
                  <c:v>83</c:v>
                </c:pt>
                <c:pt idx="29">
                  <c:v>82</c:v>
                </c:pt>
                <c:pt idx="30">
                  <c:v>82</c:v>
                </c:pt>
                <c:pt idx="31">
                  <c:v>84</c:v>
                </c:pt>
                <c:pt idx="32">
                  <c:v>87</c:v>
                </c:pt>
                <c:pt idx="33">
                  <c:v>88</c:v>
                </c:pt>
                <c:pt idx="34">
                  <c:v>88</c:v>
                </c:pt>
                <c:pt idx="35">
                  <c:v>88</c:v>
                </c:pt>
                <c:pt idx="36">
                  <c:v>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BA-4A1B-A785-F4FC793693D1}"/>
            </c:ext>
          </c:extLst>
        </c:ser>
        <c:ser>
          <c:idx val="1"/>
          <c:order val="1"/>
          <c:tx>
            <c:strRef>
              <c:f>NittyGrittySheet!$A$147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NittyGrittySheet!$B$145:$AL$145</c:f>
              <c:strCache>
                <c:ptCount val="37"/>
                <c:pt idx="0">
                  <c:v>10/13/2025</c:v>
                </c:pt>
                <c:pt idx="1">
                  <c:v>10/17/2025</c:v>
                </c:pt>
                <c:pt idx="2">
                  <c:v>10/24/2025</c:v>
                </c:pt>
                <c:pt idx="3">
                  <c:v>10/31/2025</c:v>
                </c:pt>
                <c:pt idx="4">
                  <c:v>11/7/2025</c:v>
                </c:pt>
                <c:pt idx="5">
                  <c:v>11/14/2025</c:v>
                </c:pt>
                <c:pt idx="6">
                  <c:v>11/21/2025</c:v>
                </c:pt>
                <c:pt idx="7">
                  <c:v>11/28/2025</c:v>
                </c:pt>
                <c:pt idx="8">
                  <c:v>12/5/2025</c:v>
                </c:pt>
                <c:pt idx="9">
                  <c:v>12/12/2025</c:v>
                </c:pt>
                <c:pt idx="10">
                  <c:v>12/19/2025</c:v>
                </c:pt>
                <c:pt idx="11">
                  <c:v>12/26/2025</c:v>
                </c:pt>
                <c:pt idx="12">
                  <c:v>1/2/2026</c:v>
                </c:pt>
                <c:pt idx="13">
                  <c:v>1/9/2026</c:v>
                </c:pt>
                <c:pt idx="14">
                  <c:v>1/16/2026</c:v>
                </c:pt>
                <c:pt idx="15">
                  <c:v>1/23/2026</c:v>
                </c:pt>
                <c:pt idx="16">
                  <c:v>1/30/2026</c:v>
                </c:pt>
                <c:pt idx="17">
                  <c:v>2/6/2026</c:v>
                </c:pt>
                <c:pt idx="18">
                  <c:v>2/13/2026</c:v>
                </c:pt>
                <c:pt idx="19">
                  <c:v>2/20/2026</c:v>
                </c:pt>
                <c:pt idx="20">
                  <c:v>2/27/2026</c:v>
                </c:pt>
                <c:pt idx="21">
                  <c:v>3/13/2026</c:v>
                </c:pt>
                <c:pt idx="22">
                  <c:v>3/20/2026</c:v>
                </c:pt>
                <c:pt idx="23">
                  <c:v>3/27/2026</c:v>
                </c:pt>
                <c:pt idx="24">
                  <c:v>4/3/2026</c:v>
                </c:pt>
                <c:pt idx="25">
                  <c:v>4/10/2026</c:v>
                </c:pt>
                <c:pt idx="26">
                  <c:v>4/17/2026</c:v>
                </c:pt>
                <c:pt idx="27">
                  <c:v>4/24/2026</c:v>
                </c:pt>
                <c:pt idx="28">
                  <c:v>5/1/2026</c:v>
                </c:pt>
                <c:pt idx="29">
                  <c:v>5/8/2026</c:v>
                </c:pt>
                <c:pt idx="30">
                  <c:v>5/15/2026</c:v>
                </c:pt>
                <c:pt idx="31">
                  <c:v>5/22/2026</c:v>
                </c:pt>
                <c:pt idx="32">
                  <c:v>05/29/2026</c:v>
                </c:pt>
                <c:pt idx="33">
                  <c:v>6/5/2026</c:v>
                </c:pt>
                <c:pt idx="34">
                  <c:v>6/12/2026</c:v>
                </c:pt>
                <c:pt idx="35">
                  <c:v>6/19/2026</c:v>
                </c:pt>
                <c:pt idx="36">
                  <c:v>6/26/2026</c:v>
                </c:pt>
              </c:strCache>
            </c:strRef>
          </c:cat>
          <c:val>
            <c:numRef>
              <c:f>NittyGrittySheet!$B$147:$AL$147</c:f>
              <c:numCache>
                <c:formatCode>General</c:formatCode>
                <c:ptCount val="37"/>
                <c:pt idx="0">
                  <c:v>108</c:v>
                </c:pt>
                <c:pt idx="1">
                  <c:v>108</c:v>
                </c:pt>
                <c:pt idx="2">
                  <c:v>107</c:v>
                </c:pt>
                <c:pt idx="3">
                  <c:v>105</c:v>
                </c:pt>
                <c:pt idx="4">
                  <c:v>100</c:v>
                </c:pt>
                <c:pt idx="5">
                  <c:v>100</c:v>
                </c:pt>
                <c:pt idx="6">
                  <c:v>97</c:v>
                </c:pt>
                <c:pt idx="7">
                  <c:v>95</c:v>
                </c:pt>
                <c:pt idx="8">
                  <c:v>91</c:v>
                </c:pt>
                <c:pt idx="9">
                  <c:v>88</c:v>
                </c:pt>
                <c:pt idx="10">
                  <c:v>88</c:v>
                </c:pt>
                <c:pt idx="11">
                  <c:v>87</c:v>
                </c:pt>
                <c:pt idx="12">
                  <c:v>86</c:v>
                </c:pt>
                <c:pt idx="13">
                  <c:v>88</c:v>
                </c:pt>
                <c:pt idx="14">
                  <c:v>86</c:v>
                </c:pt>
                <c:pt idx="15">
                  <c:v>86</c:v>
                </c:pt>
                <c:pt idx="16">
                  <c:v>78</c:v>
                </c:pt>
                <c:pt idx="17">
                  <c:v>75</c:v>
                </c:pt>
                <c:pt idx="18">
                  <c:v>71</c:v>
                </c:pt>
                <c:pt idx="19">
                  <c:v>71</c:v>
                </c:pt>
                <c:pt idx="20">
                  <c:v>58</c:v>
                </c:pt>
                <c:pt idx="21">
                  <c:v>52</c:v>
                </c:pt>
                <c:pt idx="22">
                  <c:v>52</c:v>
                </c:pt>
                <c:pt idx="23">
                  <c:v>47</c:v>
                </c:pt>
                <c:pt idx="24">
                  <c:v>44</c:v>
                </c:pt>
                <c:pt idx="25">
                  <c:v>43</c:v>
                </c:pt>
                <c:pt idx="26">
                  <c:v>45</c:v>
                </c:pt>
                <c:pt idx="27">
                  <c:v>38</c:v>
                </c:pt>
                <c:pt idx="28">
                  <c:v>36</c:v>
                </c:pt>
                <c:pt idx="29">
                  <c:v>32</c:v>
                </c:pt>
                <c:pt idx="30">
                  <c:v>31</c:v>
                </c:pt>
                <c:pt idx="31">
                  <c:v>29</c:v>
                </c:pt>
                <c:pt idx="32">
                  <c:v>22</c:v>
                </c:pt>
                <c:pt idx="33">
                  <c:v>21</c:v>
                </c:pt>
                <c:pt idx="34">
                  <c:v>21</c:v>
                </c:pt>
                <c:pt idx="35">
                  <c:v>21</c:v>
                </c:pt>
                <c:pt idx="36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BA-4A1B-A785-F4FC793693D1}"/>
            </c:ext>
          </c:extLst>
        </c:ser>
        <c:ser>
          <c:idx val="3"/>
          <c:order val="3"/>
          <c:tx>
            <c:strRef>
              <c:f>NittyGrittySheet!$A$149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NittyGrittySheet!$B$145:$AL$145</c:f>
              <c:strCache>
                <c:ptCount val="37"/>
                <c:pt idx="0">
                  <c:v>10/13/2025</c:v>
                </c:pt>
                <c:pt idx="1">
                  <c:v>10/17/2025</c:v>
                </c:pt>
                <c:pt idx="2">
                  <c:v>10/24/2025</c:v>
                </c:pt>
                <c:pt idx="3">
                  <c:v>10/31/2025</c:v>
                </c:pt>
                <c:pt idx="4">
                  <c:v>11/7/2025</c:v>
                </c:pt>
                <c:pt idx="5">
                  <c:v>11/14/2025</c:v>
                </c:pt>
                <c:pt idx="6">
                  <c:v>11/21/2025</c:v>
                </c:pt>
                <c:pt idx="7">
                  <c:v>11/28/2025</c:v>
                </c:pt>
                <c:pt idx="8">
                  <c:v>12/5/2025</c:v>
                </c:pt>
                <c:pt idx="9">
                  <c:v>12/12/2025</c:v>
                </c:pt>
                <c:pt idx="10">
                  <c:v>12/19/2025</c:v>
                </c:pt>
                <c:pt idx="11">
                  <c:v>12/26/2025</c:v>
                </c:pt>
                <c:pt idx="12">
                  <c:v>1/2/2026</c:v>
                </c:pt>
                <c:pt idx="13">
                  <c:v>1/9/2026</c:v>
                </c:pt>
                <c:pt idx="14">
                  <c:v>1/16/2026</c:v>
                </c:pt>
                <c:pt idx="15">
                  <c:v>1/23/2026</c:v>
                </c:pt>
                <c:pt idx="16">
                  <c:v>1/30/2026</c:v>
                </c:pt>
                <c:pt idx="17">
                  <c:v>2/6/2026</c:v>
                </c:pt>
                <c:pt idx="18">
                  <c:v>2/13/2026</c:v>
                </c:pt>
                <c:pt idx="19">
                  <c:v>2/20/2026</c:v>
                </c:pt>
                <c:pt idx="20">
                  <c:v>2/27/2026</c:v>
                </c:pt>
                <c:pt idx="21">
                  <c:v>3/13/2026</c:v>
                </c:pt>
                <c:pt idx="22">
                  <c:v>3/20/2026</c:v>
                </c:pt>
                <c:pt idx="23">
                  <c:v>3/27/2026</c:v>
                </c:pt>
                <c:pt idx="24">
                  <c:v>4/3/2026</c:v>
                </c:pt>
                <c:pt idx="25">
                  <c:v>4/10/2026</c:v>
                </c:pt>
                <c:pt idx="26">
                  <c:v>4/17/2026</c:v>
                </c:pt>
                <c:pt idx="27">
                  <c:v>4/24/2026</c:v>
                </c:pt>
                <c:pt idx="28">
                  <c:v>5/1/2026</c:v>
                </c:pt>
                <c:pt idx="29">
                  <c:v>5/8/2026</c:v>
                </c:pt>
                <c:pt idx="30">
                  <c:v>5/15/2026</c:v>
                </c:pt>
                <c:pt idx="31">
                  <c:v>5/22/2026</c:v>
                </c:pt>
                <c:pt idx="32">
                  <c:v>05/29/2026</c:v>
                </c:pt>
                <c:pt idx="33">
                  <c:v>6/5/2026</c:v>
                </c:pt>
                <c:pt idx="34">
                  <c:v>6/12/2026</c:v>
                </c:pt>
                <c:pt idx="35">
                  <c:v>6/19/2026</c:v>
                </c:pt>
                <c:pt idx="36">
                  <c:v>6/26/2026</c:v>
                </c:pt>
              </c:strCache>
            </c:strRef>
          </c:cat>
          <c:val>
            <c:numRef>
              <c:f>NittyGrittySheet!$B$149:$AL$149</c:f>
              <c:numCache>
                <c:formatCode>General</c:formatCode>
                <c:ptCount val="37"/>
                <c:pt idx="0">
                  <c:v>22</c:v>
                </c:pt>
                <c:pt idx="1">
                  <c:v>21</c:v>
                </c:pt>
                <c:pt idx="2">
                  <c:v>21</c:v>
                </c:pt>
                <c:pt idx="3">
                  <c:v>18</c:v>
                </c:pt>
                <c:pt idx="4">
                  <c:v>14</c:v>
                </c:pt>
                <c:pt idx="5">
                  <c:v>11</c:v>
                </c:pt>
                <c:pt idx="6">
                  <c:v>10</c:v>
                </c:pt>
                <c:pt idx="7">
                  <c:v>5</c:v>
                </c:pt>
                <c:pt idx="8">
                  <c:v>4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5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7BA-4A1B-A785-F4FC793693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NittyGrittySheet!$A$148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NittyGrittySheet!$B$145:$AL$145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NittyGrittySheet!$B$148:$AL$148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E7BA-4A1B-A785-F4FC793693D1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NittyGrittySheet!$A$150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NittyGrittySheet!$B$145:$AL$145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NittyGrittySheet!$B$150:$AL$150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10</c:v>
                      </c:pt>
                      <c:pt idx="1">
                        <c:v>10</c:v>
                      </c:pt>
                      <c:pt idx="2">
                        <c:v>10</c:v>
                      </c:pt>
                      <c:pt idx="3">
                        <c:v>11</c:v>
                      </c:pt>
                      <c:pt idx="4">
                        <c:v>13</c:v>
                      </c:pt>
                      <c:pt idx="5">
                        <c:v>14</c:v>
                      </c:pt>
                      <c:pt idx="6">
                        <c:v>15</c:v>
                      </c:pt>
                      <c:pt idx="7">
                        <c:v>15</c:v>
                      </c:pt>
                      <c:pt idx="8">
                        <c:v>16</c:v>
                      </c:pt>
                      <c:pt idx="9">
                        <c:v>18</c:v>
                      </c:pt>
                      <c:pt idx="10">
                        <c:v>17</c:v>
                      </c:pt>
                      <c:pt idx="11">
                        <c:v>17</c:v>
                      </c:pt>
                      <c:pt idx="12">
                        <c:v>17</c:v>
                      </c:pt>
                      <c:pt idx="13">
                        <c:v>16</c:v>
                      </c:pt>
                      <c:pt idx="14">
                        <c:v>17</c:v>
                      </c:pt>
                      <c:pt idx="15">
                        <c:v>18</c:v>
                      </c:pt>
                      <c:pt idx="16">
                        <c:v>18</c:v>
                      </c:pt>
                      <c:pt idx="17">
                        <c:v>18</c:v>
                      </c:pt>
                      <c:pt idx="18">
                        <c:v>18</c:v>
                      </c:pt>
                      <c:pt idx="19">
                        <c:v>18</c:v>
                      </c:pt>
                      <c:pt idx="20">
                        <c:v>21</c:v>
                      </c:pt>
                      <c:pt idx="21">
                        <c:v>21</c:v>
                      </c:pt>
                      <c:pt idx="22">
                        <c:v>21</c:v>
                      </c:pt>
                      <c:pt idx="23">
                        <c:v>21</c:v>
                      </c:pt>
                      <c:pt idx="24">
                        <c:v>21</c:v>
                      </c:pt>
                      <c:pt idx="25">
                        <c:v>21</c:v>
                      </c:pt>
                      <c:pt idx="26">
                        <c:v>21</c:v>
                      </c:pt>
                      <c:pt idx="27">
                        <c:v>20</c:v>
                      </c:pt>
                      <c:pt idx="28">
                        <c:v>21</c:v>
                      </c:pt>
                      <c:pt idx="29">
                        <c:v>21</c:v>
                      </c:pt>
                      <c:pt idx="30">
                        <c:v>21</c:v>
                      </c:pt>
                      <c:pt idx="31">
                        <c:v>21</c:v>
                      </c:pt>
                      <c:pt idx="32">
                        <c:v>22</c:v>
                      </c:pt>
                      <c:pt idx="33">
                        <c:v>22</c:v>
                      </c:pt>
                      <c:pt idx="34">
                        <c:v>22</c:v>
                      </c:pt>
                      <c:pt idx="35">
                        <c:v>22</c:v>
                      </c:pt>
                      <c:pt idx="36">
                        <c:v>22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7BA-4A1B-A785-F4FC793693D1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NittyGrittySheet!$A$151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NittyGrittySheet!$B$145:$AL$145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NittyGrittySheet!$B$151:$AL$151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3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4</c:v>
                      </c:pt>
                      <c:pt idx="6">
                        <c:v>4</c:v>
                      </c:pt>
                      <c:pt idx="7">
                        <c:v>4</c:v>
                      </c:pt>
                      <c:pt idx="8">
                        <c:v>4</c:v>
                      </c:pt>
                      <c:pt idx="9">
                        <c:v>4</c:v>
                      </c:pt>
                      <c:pt idx="10">
                        <c:v>4</c:v>
                      </c:pt>
                      <c:pt idx="11">
                        <c:v>4</c:v>
                      </c:pt>
                      <c:pt idx="12">
                        <c:v>4</c:v>
                      </c:pt>
                      <c:pt idx="13">
                        <c:v>4</c:v>
                      </c:pt>
                      <c:pt idx="14">
                        <c:v>4</c:v>
                      </c:pt>
                      <c:pt idx="15">
                        <c:v>4</c:v>
                      </c:pt>
                      <c:pt idx="16">
                        <c:v>4</c:v>
                      </c:pt>
                      <c:pt idx="17">
                        <c:v>4</c:v>
                      </c:pt>
                      <c:pt idx="18">
                        <c:v>4</c:v>
                      </c:pt>
                      <c:pt idx="19">
                        <c:v>4</c:v>
                      </c:pt>
                      <c:pt idx="20">
                        <c:v>4</c:v>
                      </c:pt>
                      <c:pt idx="21">
                        <c:v>4</c:v>
                      </c:pt>
                      <c:pt idx="22">
                        <c:v>4</c:v>
                      </c:pt>
                      <c:pt idx="23">
                        <c:v>4</c:v>
                      </c:pt>
                      <c:pt idx="24">
                        <c:v>4</c:v>
                      </c:pt>
                      <c:pt idx="25">
                        <c:v>4</c:v>
                      </c:pt>
                      <c:pt idx="26">
                        <c:v>4</c:v>
                      </c:pt>
                      <c:pt idx="27">
                        <c:v>4</c:v>
                      </c:pt>
                      <c:pt idx="28">
                        <c:v>4</c:v>
                      </c:pt>
                      <c:pt idx="29">
                        <c:v>4</c:v>
                      </c:pt>
                      <c:pt idx="30">
                        <c:v>4</c:v>
                      </c:pt>
                      <c:pt idx="31">
                        <c:v>4</c:v>
                      </c:pt>
                      <c:pt idx="32">
                        <c:v>4</c:v>
                      </c:pt>
                      <c:pt idx="33">
                        <c:v>4</c:v>
                      </c:pt>
                      <c:pt idx="34">
                        <c:v>4</c:v>
                      </c:pt>
                      <c:pt idx="35">
                        <c:v>4</c:v>
                      </c:pt>
                      <c:pt idx="36">
                        <c:v>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E7BA-4A1B-A785-F4FC793693D1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NittyGrittySheet!$A$152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NittyGrittySheet!$B$145:$AL$145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NittyGrittySheet!$B$152:$AL$152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6</c:v>
                      </c:pt>
                      <c:pt idx="1">
                        <c:v>6</c:v>
                      </c:pt>
                      <c:pt idx="2">
                        <c:v>5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6</c:v>
                      </c:pt>
                      <c:pt idx="6">
                        <c:v>6</c:v>
                      </c:pt>
                      <c:pt idx="7">
                        <c:v>6</c:v>
                      </c:pt>
                      <c:pt idx="8">
                        <c:v>6</c:v>
                      </c:pt>
                      <c:pt idx="9">
                        <c:v>7</c:v>
                      </c:pt>
                      <c:pt idx="10">
                        <c:v>7</c:v>
                      </c:pt>
                      <c:pt idx="11">
                        <c:v>7</c:v>
                      </c:pt>
                      <c:pt idx="12">
                        <c:v>7</c:v>
                      </c:pt>
                      <c:pt idx="13">
                        <c:v>8</c:v>
                      </c:pt>
                      <c:pt idx="14">
                        <c:v>10</c:v>
                      </c:pt>
                      <c:pt idx="15">
                        <c:v>10</c:v>
                      </c:pt>
                      <c:pt idx="16">
                        <c:v>13</c:v>
                      </c:pt>
                      <c:pt idx="17">
                        <c:v>13</c:v>
                      </c:pt>
                      <c:pt idx="18">
                        <c:v>13</c:v>
                      </c:pt>
                      <c:pt idx="19">
                        <c:v>13</c:v>
                      </c:pt>
                      <c:pt idx="20">
                        <c:v>15</c:v>
                      </c:pt>
                      <c:pt idx="21">
                        <c:v>16</c:v>
                      </c:pt>
                      <c:pt idx="22">
                        <c:v>16</c:v>
                      </c:pt>
                      <c:pt idx="23">
                        <c:v>18</c:v>
                      </c:pt>
                      <c:pt idx="24">
                        <c:v>18</c:v>
                      </c:pt>
                      <c:pt idx="25">
                        <c:v>17</c:v>
                      </c:pt>
                      <c:pt idx="26">
                        <c:v>16</c:v>
                      </c:pt>
                      <c:pt idx="27">
                        <c:v>16</c:v>
                      </c:pt>
                      <c:pt idx="28">
                        <c:v>16</c:v>
                      </c:pt>
                      <c:pt idx="29">
                        <c:v>11</c:v>
                      </c:pt>
                      <c:pt idx="30">
                        <c:v>11</c:v>
                      </c:pt>
                      <c:pt idx="31">
                        <c:v>11</c:v>
                      </c:pt>
                      <c:pt idx="32">
                        <c:v>11</c:v>
                      </c:pt>
                      <c:pt idx="33">
                        <c:v>11</c:v>
                      </c:pt>
                      <c:pt idx="34">
                        <c:v>11</c:v>
                      </c:pt>
                      <c:pt idx="35">
                        <c:v>11</c:v>
                      </c:pt>
                      <c:pt idx="36">
                        <c:v>11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E7BA-4A1B-A785-F4FC793693D1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NittyGrittySheet!$A$153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NittyGrittySheet!$B$145:$AL$145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NittyGrittySheet!$B$153:$AL$153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4</c:v>
                      </c:pt>
                      <c:pt idx="5">
                        <c:v>4</c:v>
                      </c:pt>
                      <c:pt idx="6">
                        <c:v>4</c:v>
                      </c:pt>
                      <c:pt idx="7">
                        <c:v>4</c:v>
                      </c:pt>
                      <c:pt idx="8">
                        <c:v>5</c:v>
                      </c:pt>
                      <c:pt idx="9">
                        <c:v>5</c:v>
                      </c:pt>
                      <c:pt idx="10">
                        <c:v>5</c:v>
                      </c:pt>
                      <c:pt idx="11">
                        <c:v>6</c:v>
                      </c:pt>
                      <c:pt idx="12">
                        <c:v>6</c:v>
                      </c:pt>
                      <c:pt idx="13">
                        <c:v>5</c:v>
                      </c:pt>
                      <c:pt idx="14">
                        <c:v>5</c:v>
                      </c:pt>
                      <c:pt idx="15">
                        <c:v>5</c:v>
                      </c:pt>
                      <c:pt idx="16">
                        <c:v>5</c:v>
                      </c:pt>
                      <c:pt idx="17">
                        <c:v>3</c:v>
                      </c:pt>
                      <c:pt idx="18">
                        <c:v>3</c:v>
                      </c:pt>
                      <c:pt idx="19">
                        <c:v>4</c:v>
                      </c:pt>
                      <c:pt idx="20">
                        <c:v>4</c:v>
                      </c:pt>
                      <c:pt idx="21">
                        <c:v>4</c:v>
                      </c:pt>
                      <c:pt idx="22">
                        <c:v>4</c:v>
                      </c:pt>
                      <c:pt idx="23">
                        <c:v>4</c:v>
                      </c:pt>
                      <c:pt idx="24">
                        <c:v>4</c:v>
                      </c:pt>
                      <c:pt idx="25">
                        <c:v>5</c:v>
                      </c:pt>
                      <c:pt idx="26">
                        <c:v>4</c:v>
                      </c:pt>
                      <c:pt idx="27">
                        <c:v>4</c:v>
                      </c:pt>
                      <c:pt idx="28">
                        <c:v>4</c:v>
                      </c:pt>
                      <c:pt idx="29">
                        <c:v>13</c:v>
                      </c:pt>
                      <c:pt idx="30">
                        <c:v>13</c:v>
                      </c:pt>
                      <c:pt idx="31">
                        <c:v>13</c:v>
                      </c:pt>
                      <c:pt idx="32">
                        <c:v>13</c:v>
                      </c:pt>
                      <c:pt idx="33">
                        <c:v>13</c:v>
                      </c:pt>
                      <c:pt idx="34">
                        <c:v>13</c:v>
                      </c:pt>
                      <c:pt idx="35">
                        <c:v>13</c:v>
                      </c:pt>
                      <c:pt idx="36">
                        <c:v>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E7BA-4A1B-A785-F4FC793693D1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NittyGrittySheet!$A$154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NittyGrittySheet!$B$145:$AL$145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NittyGrittySheet!$B$154:$AL$154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2</c:v>
                      </c:pt>
                      <c:pt idx="6">
                        <c:v>3</c:v>
                      </c:pt>
                      <c:pt idx="7">
                        <c:v>3</c:v>
                      </c:pt>
                      <c:pt idx="8">
                        <c:v>3</c:v>
                      </c:pt>
                      <c:pt idx="9">
                        <c:v>3</c:v>
                      </c:pt>
                      <c:pt idx="10">
                        <c:v>3</c:v>
                      </c:pt>
                      <c:pt idx="11">
                        <c:v>3</c:v>
                      </c:pt>
                      <c:pt idx="12">
                        <c:v>3</c:v>
                      </c:pt>
                      <c:pt idx="13">
                        <c:v>3</c:v>
                      </c:pt>
                      <c:pt idx="14">
                        <c:v>3</c:v>
                      </c:pt>
                      <c:pt idx="15">
                        <c:v>3</c:v>
                      </c:pt>
                      <c:pt idx="16">
                        <c:v>3</c:v>
                      </c:pt>
                      <c:pt idx="17">
                        <c:v>3</c:v>
                      </c:pt>
                      <c:pt idx="18">
                        <c:v>3</c:v>
                      </c:pt>
                      <c:pt idx="19">
                        <c:v>3</c:v>
                      </c:pt>
                      <c:pt idx="20">
                        <c:v>4</c:v>
                      </c:pt>
                      <c:pt idx="21">
                        <c:v>4</c:v>
                      </c:pt>
                      <c:pt idx="22">
                        <c:v>4</c:v>
                      </c:pt>
                      <c:pt idx="23">
                        <c:v>4</c:v>
                      </c:pt>
                      <c:pt idx="24">
                        <c:v>4</c:v>
                      </c:pt>
                      <c:pt idx="25">
                        <c:v>4</c:v>
                      </c:pt>
                      <c:pt idx="26">
                        <c:v>4</c:v>
                      </c:pt>
                      <c:pt idx="27">
                        <c:v>3</c:v>
                      </c:pt>
                      <c:pt idx="28">
                        <c:v>3</c:v>
                      </c:pt>
                      <c:pt idx="29">
                        <c:v>3</c:v>
                      </c:pt>
                      <c:pt idx="30">
                        <c:v>3</c:v>
                      </c:pt>
                      <c:pt idx="31">
                        <c:v>3</c:v>
                      </c:pt>
                      <c:pt idx="32">
                        <c:v>3</c:v>
                      </c:pt>
                      <c:pt idx="33">
                        <c:v>3</c:v>
                      </c:pt>
                      <c:pt idx="34">
                        <c:v>3</c:v>
                      </c:pt>
                      <c:pt idx="35">
                        <c:v>3</c:v>
                      </c:pt>
                      <c:pt idx="36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E7BA-4A1B-A785-F4FC793693D1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NittyGrittySheet!$A$155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NittyGrittySheet!$B$145:$AL$145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NittyGrittySheet!$B$155:$AL$155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7</c:v>
                      </c:pt>
                      <c:pt idx="1">
                        <c:v>8</c:v>
                      </c:pt>
                      <c:pt idx="2">
                        <c:v>8</c:v>
                      </c:pt>
                      <c:pt idx="3">
                        <c:v>8</c:v>
                      </c:pt>
                      <c:pt idx="4">
                        <c:v>9</c:v>
                      </c:pt>
                      <c:pt idx="5">
                        <c:v>9</c:v>
                      </c:pt>
                      <c:pt idx="6">
                        <c:v>9</c:v>
                      </c:pt>
                      <c:pt idx="7">
                        <c:v>13</c:v>
                      </c:pt>
                      <c:pt idx="8">
                        <c:v>13</c:v>
                      </c:pt>
                      <c:pt idx="9">
                        <c:v>12</c:v>
                      </c:pt>
                      <c:pt idx="10">
                        <c:v>12</c:v>
                      </c:pt>
                      <c:pt idx="11">
                        <c:v>12</c:v>
                      </c:pt>
                      <c:pt idx="12">
                        <c:v>12</c:v>
                      </c:pt>
                      <c:pt idx="13">
                        <c:v>12</c:v>
                      </c:pt>
                      <c:pt idx="14">
                        <c:v>12</c:v>
                      </c:pt>
                      <c:pt idx="15">
                        <c:v>12</c:v>
                      </c:pt>
                      <c:pt idx="16">
                        <c:v>12</c:v>
                      </c:pt>
                      <c:pt idx="17">
                        <c:v>12</c:v>
                      </c:pt>
                      <c:pt idx="18">
                        <c:v>12</c:v>
                      </c:pt>
                      <c:pt idx="19">
                        <c:v>12</c:v>
                      </c:pt>
                      <c:pt idx="20">
                        <c:v>13</c:v>
                      </c:pt>
                      <c:pt idx="21">
                        <c:v>13</c:v>
                      </c:pt>
                      <c:pt idx="22">
                        <c:v>13</c:v>
                      </c:pt>
                      <c:pt idx="23">
                        <c:v>13</c:v>
                      </c:pt>
                      <c:pt idx="24">
                        <c:v>13</c:v>
                      </c:pt>
                      <c:pt idx="25">
                        <c:v>13</c:v>
                      </c:pt>
                      <c:pt idx="26">
                        <c:v>13</c:v>
                      </c:pt>
                      <c:pt idx="27">
                        <c:v>13</c:v>
                      </c:pt>
                      <c:pt idx="28">
                        <c:v>13</c:v>
                      </c:pt>
                      <c:pt idx="29">
                        <c:v>14</c:v>
                      </c:pt>
                      <c:pt idx="30">
                        <c:v>14</c:v>
                      </c:pt>
                      <c:pt idx="31">
                        <c:v>14</c:v>
                      </c:pt>
                      <c:pt idx="32">
                        <c:v>14</c:v>
                      </c:pt>
                      <c:pt idx="33">
                        <c:v>14</c:v>
                      </c:pt>
                      <c:pt idx="34">
                        <c:v>14</c:v>
                      </c:pt>
                      <c:pt idx="35">
                        <c:v>14</c:v>
                      </c:pt>
                      <c:pt idx="36">
                        <c:v>14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E7BA-4A1B-A785-F4FC793693D1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NittyGrittySheet!$A$156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NittyGrittySheet!$B$145:$AL$145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NittyGrittySheet!$B$156:$AL$156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190</c:v>
                      </c:pt>
                      <c:pt idx="1">
                        <c:v>189</c:v>
                      </c:pt>
                      <c:pt idx="2">
                        <c:v>188</c:v>
                      </c:pt>
                      <c:pt idx="3">
                        <c:v>189</c:v>
                      </c:pt>
                      <c:pt idx="4">
                        <c:v>188</c:v>
                      </c:pt>
                      <c:pt idx="5">
                        <c:v>189</c:v>
                      </c:pt>
                      <c:pt idx="6">
                        <c:v>189</c:v>
                      </c:pt>
                      <c:pt idx="7">
                        <c:v>188</c:v>
                      </c:pt>
                      <c:pt idx="8">
                        <c:v>187</c:v>
                      </c:pt>
                      <c:pt idx="9">
                        <c:v>191</c:v>
                      </c:pt>
                      <c:pt idx="10">
                        <c:v>191</c:v>
                      </c:pt>
                      <c:pt idx="11">
                        <c:v>191</c:v>
                      </c:pt>
                      <c:pt idx="12">
                        <c:v>191</c:v>
                      </c:pt>
                      <c:pt idx="13">
                        <c:v>192</c:v>
                      </c:pt>
                      <c:pt idx="14">
                        <c:v>193</c:v>
                      </c:pt>
                      <c:pt idx="15">
                        <c:v>193</c:v>
                      </c:pt>
                      <c:pt idx="16">
                        <c:v>192</c:v>
                      </c:pt>
                      <c:pt idx="17">
                        <c:v>190</c:v>
                      </c:pt>
                      <c:pt idx="18">
                        <c:v>190</c:v>
                      </c:pt>
                      <c:pt idx="19">
                        <c:v>190</c:v>
                      </c:pt>
                      <c:pt idx="20">
                        <c:v>188</c:v>
                      </c:pt>
                      <c:pt idx="21">
                        <c:v>188</c:v>
                      </c:pt>
                      <c:pt idx="22">
                        <c:v>188</c:v>
                      </c:pt>
                      <c:pt idx="23">
                        <c:v>186</c:v>
                      </c:pt>
                      <c:pt idx="24">
                        <c:v>183</c:v>
                      </c:pt>
                      <c:pt idx="25">
                        <c:v>183</c:v>
                      </c:pt>
                      <c:pt idx="26">
                        <c:v>186</c:v>
                      </c:pt>
                      <c:pt idx="27">
                        <c:v>180</c:v>
                      </c:pt>
                      <c:pt idx="28">
                        <c:v>180</c:v>
                      </c:pt>
                      <c:pt idx="29">
                        <c:v>180</c:v>
                      </c:pt>
                      <c:pt idx="30">
                        <c:v>179</c:v>
                      </c:pt>
                      <c:pt idx="31">
                        <c:v>179</c:v>
                      </c:pt>
                      <c:pt idx="32">
                        <c:v>176</c:v>
                      </c:pt>
                      <c:pt idx="33">
                        <c:v>176</c:v>
                      </c:pt>
                      <c:pt idx="34">
                        <c:v>176</c:v>
                      </c:pt>
                      <c:pt idx="35">
                        <c:v>176</c:v>
                      </c:pt>
                      <c:pt idx="36">
                        <c:v>174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E7BA-4A1B-A785-F4FC793693D1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% Placed 5 Year Summary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BSBusM!$O$24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BSBusM!$M$25:$M$38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BSBusM!$O$25:$O$38</c:f>
              <c:numCache>
                <c:formatCode>0.00%</c:formatCode>
                <c:ptCount val="14"/>
                <c:pt idx="0">
                  <c:v>0.1111111111111111</c:v>
                </c:pt>
                <c:pt idx="1">
                  <c:v>0.16666666666666666</c:v>
                </c:pt>
                <c:pt idx="2">
                  <c:v>0.16666666666666666</c:v>
                </c:pt>
                <c:pt idx="3">
                  <c:v>0.16666666666666666</c:v>
                </c:pt>
                <c:pt idx="4">
                  <c:v>0.22222222222222221</c:v>
                </c:pt>
                <c:pt idx="5">
                  <c:v>0.3888888888888889</c:v>
                </c:pt>
                <c:pt idx="6">
                  <c:v>0.3888888888888889</c:v>
                </c:pt>
                <c:pt idx="7">
                  <c:v>0.61111111111111116</c:v>
                </c:pt>
                <c:pt idx="8">
                  <c:v>0.61111111111111116</c:v>
                </c:pt>
                <c:pt idx="9">
                  <c:v>0.61111111111111116</c:v>
                </c:pt>
                <c:pt idx="10">
                  <c:v>0.61111111111111116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77-4C03-A174-61D48A0E5E67}"/>
            </c:ext>
          </c:extLst>
        </c:ser>
        <c:ser>
          <c:idx val="2"/>
          <c:order val="1"/>
          <c:tx>
            <c:strRef>
              <c:f>BSBusM!$P$24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BSBusM!$M$25:$M$38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BSBusM!$P$25:$P$38</c:f>
              <c:numCache>
                <c:formatCode>0.00%</c:formatCode>
                <c:ptCount val="14"/>
                <c:pt idx="0">
                  <c:v>0.23809523809523808</c:v>
                </c:pt>
                <c:pt idx="1">
                  <c:v>0.23809523809523808</c:v>
                </c:pt>
                <c:pt idx="2">
                  <c:v>0.2857142857142857</c:v>
                </c:pt>
                <c:pt idx="3">
                  <c:v>0.33333333333333331</c:v>
                </c:pt>
                <c:pt idx="4">
                  <c:v>0.33333333333333331</c:v>
                </c:pt>
                <c:pt idx="5">
                  <c:v>0.52380952380952384</c:v>
                </c:pt>
                <c:pt idx="6">
                  <c:v>0.61904761904761907</c:v>
                </c:pt>
                <c:pt idx="7">
                  <c:v>0.7142857142857143</c:v>
                </c:pt>
                <c:pt idx="8">
                  <c:v>0.80952380952380953</c:v>
                </c:pt>
                <c:pt idx="9">
                  <c:v>0.95238095238095233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0377-4C03-A174-61D48A0E5E67}"/>
            </c:ext>
          </c:extLst>
        </c:ser>
        <c:ser>
          <c:idx val="3"/>
          <c:order val="2"/>
          <c:tx>
            <c:strRef>
              <c:f>BSBusM!$Q$24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BSBusM!$M$25:$M$38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BSBusM!$Q$25:$Q$38</c:f>
              <c:numCache>
                <c:formatCode>0.00%</c:formatCode>
                <c:ptCount val="14"/>
                <c:pt idx="0">
                  <c:v>0.16666666666666666</c:v>
                </c:pt>
                <c:pt idx="1">
                  <c:v>0.20833333333333334</c:v>
                </c:pt>
                <c:pt idx="2">
                  <c:v>0.20833333333333334</c:v>
                </c:pt>
                <c:pt idx="3">
                  <c:v>0.20833333333333334</c:v>
                </c:pt>
                <c:pt idx="4">
                  <c:v>0.20833333333333334</c:v>
                </c:pt>
                <c:pt idx="5">
                  <c:v>0.25</c:v>
                </c:pt>
                <c:pt idx="6">
                  <c:v>0.29166666666666669</c:v>
                </c:pt>
                <c:pt idx="7">
                  <c:v>0.33333333333333331</c:v>
                </c:pt>
                <c:pt idx="8">
                  <c:v>0.625</c:v>
                </c:pt>
                <c:pt idx="9">
                  <c:v>0.79166666666666663</c:v>
                </c:pt>
                <c:pt idx="10">
                  <c:v>0.79166666666666663</c:v>
                </c:pt>
                <c:pt idx="11">
                  <c:v>0.91666666666666663</c:v>
                </c:pt>
                <c:pt idx="12">
                  <c:v>0.91666666666666663</c:v>
                </c:pt>
                <c:pt idx="13">
                  <c:v>0.95833333333333337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0377-4C03-A174-61D48A0E5E67}"/>
            </c:ext>
          </c:extLst>
        </c:ser>
        <c:ser>
          <c:idx val="4"/>
          <c:order val="3"/>
          <c:tx>
            <c:strRef>
              <c:f>BSBusM!$R$24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BSBusM!$M$25:$M$38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BSBusM!$R$25:$R$38</c:f>
              <c:numCache>
                <c:formatCode>0.00%</c:formatCode>
                <c:ptCount val="14"/>
                <c:pt idx="0">
                  <c:v>0.21052631578947367</c:v>
                </c:pt>
                <c:pt idx="1">
                  <c:v>0.21052631578947367</c:v>
                </c:pt>
                <c:pt idx="2">
                  <c:v>0.21052631578947367</c:v>
                </c:pt>
                <c:pt idx="3">
                  <c:v>0.26315789473684209</c:v>
                </c:pt>
                <c:pt idx="4">
                  <c:v>0.47368421052631576</c:v>
                </c:pt>
                <c:pt idx="5">
                  <c:v>0.52631578947368418</c:v>
                </c:pt>
                <c:pt idx="6">
                  <c:v>0.73684210526315785</c:v>
                </c:pt>
                <c:pt idx="7">
                  <c:v>0.84210526315789469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0377-4C03-A174-61D48A0E5E67}"/>
            </c:ext>
          </c:extLst>
        </c:ser>
        <c:ser>
          <c:idx val="5"/>
          <c:order val="4"/>
          <c:tx>
            <c:strRef>
              <c:f>BSBusM!$S$24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BSBusM!$M$25:$M$38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BSBusM!$S$25:$S$38</c:f>
              <c:numCache>
                <c:formatCode>0.00%</c:formatCode>
                <c:ptCount val="14"/>
                <c:pt idx="0">
                  <c:v>0.16666666666666666</c:v>
                </c:pt>
                <c:pt idx="1">
                  <c:v>0.16666666666666666</c:v>
                </c:pt>
                <c:pt idx="2">
                  <c:v>0.16666666666666666</c:v>
                </c:pt>
                <c:pt idx="3">
                  <c:v>0.16666666666666666</c:v>
                </c:pt>
                <c:pt idx="4">
                  <c:v>0.16666666666666666</c:v>
                </c:pt>
                <c:pt idx="5">
                  <c:v>0.16666666666666666</c:v>
                </c:pt>
                <c:pt idx="6">
                  <c:v>0.66666666666666663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0377-4C03-A174-61D48A0E5E67}"/>
            </c:ext>
          </c:extLst>
        </c:ser>
        <c:ser>
          <c:idx val="0"/>
          <c:order val="5"/>
          <c:tx>
            <c:strRef>
              <c:f>BSBusM!$N$24</c:f>
              <c:strCache>
                <c:ptCount val="1"/>
                <c:pt idx="0">
                  <c:v>2026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BSBusM!$M$25:$M$38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BSBusM!$N$25:$N$38</c:f>
              <c:numCache>
                <c:formatCode>0.00%</c:formatCode>
                <c:ptCount val="14"/>
                <c:pt idx="2">
                  <c:v>0.2319</c:v>
                </c:pt>
                <c:pt idx="3">
                  <c:v>0.2727</c:v>
                </c:pt>
                <c:pt idx="4">
                  <c:v>0.28789999999999999</c:v>
                </c:pt>
                <c:pt idx="5">
                  <c:v>0.36509999999999998</c:v>
                </c:pt>
                <c:pt idx="6">
                  <c:v>0.36065573770491804</c:v>
                </c:pt>
                <c:pt idx="7">
                  <c:v>0.44230000000000003</c:v>
                </c:pt>
                <c:pt idx="8">
                  <c:v>0.52270000000000005</c:v>
                </c:pt>
                <c:pt idx="9">
                  <c:v>0.64290000000000003</c:v>
                </c:pt>
                <c:pt idx="10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377-4C03-A174-61D48A0E5E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Placement %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NittyGrittySheet!$A$160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NittyGrittySheet!$B$159:$AL$159</c:f>
              <c:strCache>
                <c:ptCount val="37"/>
                <c:pt idx="0">
                  <c:v>10/13/2025</c:v>
                </c:pt>
                <c:pt idx="1">
                  <c:v>10/17/2025</c:v>
                </c:pt>
                <c:pt idx="2">
                  <c:v>10/24/2025</c:v>
                </c:pt>
                <c:pt idx="3">
                  <c:v>10/31/2025</c:v>
                </c:pt>
                <c:pt idx="4">
                  <c:v>11/7/2025</c:v>
                </c:pt>
                <c:pt idx="5">
                  <c:v>11/14/2025</c:v>
                </c:pt>
                <c:pt idx="6">
                  <c:v>11/21/2025</c:v>
                </c:pt>
                <c:pt idx="7">
                  <c:v>11/28/2025</c:v>
                </c:pt>
                <c:pt idx="8">
                  <c:v>12/5/2025</c:v>
                </c:pt>
                <c:pt idx="9">
                  <c:v>12/12/2025</c:v>
                </c:pt>
                <c:pt idx="10">
                  <c:v>12/19/2025</c:v>
                </c:pt>
                <c:pt idx="11">
                  <c:v>12/26/2025</c:v>
                </c:pt>
                <c:pt idx="12">
                  <c:v>1/2/2026</c:v>
                </c:pt>
                <c:pt idx="13">
                  <c:v>1/9/2026</c:v>
                </c:pt>
                <c:pt idx="14">
                  <c:v>1/16/2026</c:v>
                </c:pt>
                <c:pt idx="15">
                  <c:v>1/23/2026</c:v>
                </c:pt>
                <c:pt idx="16">
                  <c:v>1/30/2026</c:v>
                </c:pt>
                <c:pt idx="17">
                  <c:v>2/6/2026</c:v>
                </c:pt>
                <c:pt idx="18">
                  <c:v>2/13/2026</c:v>
                </c:pt>
                <c:pt idx="19">
                  <c:v>2/20/2026</c:v>
                </c:pt>
                <c:pt idx="20">
                  <c:v>2/27/2026</c:v>
                </c:pt>
                <c:pt idx="21">
                  <c:v>3/13/2026</c:v>
                </c:pt>
                <c:pt idx="22">
                  <c:v>3/20/2026</c:v>
                </c:pt>
                <c:pt idx="23">
                  <c:v>3/27/2026</c:v>
                </c:pt>
                <c:pt idx="24">
                  <c:v>4/3/2026</c:v>
                </c:pt>
                <c:pt idx="25">
                  <c:v>4/10/2026</c:v>
                </c:pt>
                <c:pt idx="26">
                  <c:v>4/17/2026</c:v>
                </c:pt>
                <c:pt idx="27">
                  <c:v>4/24/2026</c:v>
                </c:pt>
                <c:pt idx="28">
                  <c:v>5/1/2026</c:v>
                </c:pt>
                <c:pt idx="29">
                  <c:v>5/8/2026</c:v>
                </c:pt>
                <c:pt idx="30">
                  <c:v>5/15/2026</c:v>
                </c:pt>
                <c:pt idx="31">
                  <c:v>5/22/2026</c:v>
                </c:pt>
                <c:pt idx="32">
                  <c:v>05/29/2026</c:v>
                </c:pt>
                <c:pt idx="33">
                  <c:v>6/5/2026</c:v>
                </c:pt>
                <c:pt idx="34">
                  <c:v>6/12/2026</c:v>
                </c:pt>
                <c:pt idx="35">
                  <c:v>6/19/2026</c:v>
                </c:pt>
                <c:pt idx="36">
                  <c:v>6/26/2026</c:v>
                </c:pt>
              </c:strCache>
            </c:strRef>
          </c:cat>
          <c:val>
            <c:numRef>
              <c:f>NittyGrittySheet!$B$160:$AL$160</c:f>
              <c:numCache>
                <c:formatCode>0.00%</c:formatCode>
                <c:ptCount val="37"/>
                <c:pt idx="0">
                  <c:v>0.23530000000000001</c:v>
                </c:pt>
                <c:pt idx="1">
                  <c:v>0.23530000000000001</c:v>
                </c:pt>
                <c:pt idx="2">
                  <c:v>0.2319</c:v>
                </c:pt>
                <c:pt idx="3">
                  <c:v>0.2319</c:v>
                </c:pt>
                <c:pt idx="4">
                  <c:v>0.25</c:v>
                </c:pt>
                <c:pt idx="5">
                  <c:v>0.25369999999999998</c:v>
                </c:pt>
                <c:pt idx="6">
                  <c:v>0.26090000000000002</c:v>
                </c:pt>
                <c:pt idx="7">
                  <c:v>0.2727</c:v>
                </c:pt>
                <c:pt idx="8">
                  <c:v>0.2727</c:v>
                </c:pt>
                <c:pt idx="9">
                  <c:v>0.28789999999999999</c:v>
                </c:pt>
                <c:pt idx="10">
                  <c:v>0.28789999999999999</c:v>
                </c:pt>
                <c:pt idx="11">
                  <c:v>0.28789999999999999</c:v>
                </c:pt>
                <c:pt idx="12">
                  <c:v>0.30299999999999999</c:v>
                </c:pt>
                <c:pt idx="13">
                  <c:v>0.31819999999999998</c:v>
                </c:pt>
                <c:pt idx="14">
                  <c:v>0.3594</c:v>
                </c:pt>
                <c:pt idx="15">
                  <c:v>0.36509999999999998</c:v>
                </c:pt>
                <c:pt idx="16">
                  <c:v>0.36509999999999998</c:v>
                </c:pt>
                <c:pt idx="17">
                  <c:v>0.36509999999999998</c:v>
                </c:pt>
                <c:pt idx="18">
                  <c:v>0.3548</c:v>
                </c:pt>
                <c:pt idx="19">
                  <c:v>0.35479999999999989</c:v>
                </c:pt>
                <c:pt idx="20">
                  <c:v>0.36065573770491804</c:v>
                </c:pt>
                <c:pt idx="21">
                  <c:v>0.4</c:v>
                </c:pt>
                <c:pt idx="22">
                  <c:v>0.40679999999999999</c:v>
                </c:pt>
                <c:pt idx="23">
                  <c:v>0.44440000000000002</c:v>
                </c:pt>
                <c:pt idx="24">
                  <c:v>0.5</c:v>
                </c:pt>
                <c:pt idx="25">
                  <c:v>0.5111</c:v>
                </c:pt>
                <c:pt idx="26">
                  <c:v>0.52270000000000005</c:v>
                </c:pt>
                <c:pt idx="27">
                  <c:v>0.52270000000000005</c:v>
                </c:pt>
                <c:pt idx="28">
                  <c:v>0.52270000000000005</c:v>
                </c:pt>
                <c:pt idx="29">
                  <c:v>0.61899999999999999</c:v>
                </c:pt>
                <c:pt idx="30">
                  <c:v>0.64290000000000003</c:v>
                </c:pt>
                <c:pt idx="31">
                  <c:v>0.64290000000000003</c:v>
                </c:pt>
                <c:pt idx="32">
                  <c:v>0.64290000000000003</c:v>
                </c:pt>
                <c:pt idx="33">
                  <c:v>0.71790000000000009</c:v>
                </c:pt>
                <c:pt idx="34">
                  <c:v>0.71790000000000009</c:v>
                </c:pt>
                <c:pt idx="35">
                  <c:v>0.7</c:v>
                </c:pt>
                <c:pt idx="36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B4-45A0-9B7B-5128021106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Search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NittyGrittySheet!$A$163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NittyGrittySheet!$B$162:$AL$162</c:f>
              <c:strCache>
                <c:ptCount val="37"/>
                <c:pt idx="0">
                  <c:v>10/13/2025</c:v>
                </c:pt>
                <c:pt idx="1">
                  <c:v>10/17/2025</c:v>
                </c:pt>
                <c:pt idx="2">
                  <c:v>10/24/2025</c:v>
                </c:pt>
                <c:pt idx="3">
                  <c:v>10/31/2025</c:v>
                </c:pt>
                <c:pt idx="4">
                  <c:v>11/7/2025</c:v>
                </c:pt>
                <c:pt idx="5">
                  <c:v>11/14/2025</c:v>
                </c:pt>
                <c:pt idx="6">
                  <c:v>11/21/2025</c:v>
                </c:pt>
                <c:pt idx="7">
                  <c:v>11/28/2025</c:v>
                </c:pt>
                <c:pt idx="8">
                  <c:v>12/5/2025</c:v>
                </c:pt>
                <c:pt idx="9">
                  <c:v>12/12/2025</c:v>
                </c:pt>
                <c:pt idx="10">
                  <c:v>12/19/2025</c:v>
                </c:pt>
                <c:pt idx="11">
                  <c:v>12/26/2025</c:v>
                </c:pt>
                <c:pt idx="12">
                  <c:v>1/2/2026</c:v>
                </c:pt>
                <c:pt idx="13">
                  <c:v>1/9/2026</c:v>
                </c:pt>
                <c:pt idx="14">
                  <c:v>1/16/2026</c:v>
                </c:pt>
                <c:pt idx="15">
                  <c:v>1/23/2026</c:v>
                </c:pt>
                <c:pt idx="16">
                  <c:v>1/30/2026</c:v>
                </c:pt>
                <c:pt idx="17">
                  <c:v>2/6/2026</c:v>
                </c:pt>
                <c:pt idx="18">
                  <c:v>2/13/2026</c:v>
                </c:pt>
                <c:pt idx="19">
                  <c:v>2/20/2026</c:v>
                </c:pt>
                <c:pt idx="20">
                  <c:v>2/27/2026</c:v>
                </c:pt>
                <c:pt idx="21">
                  <c:v>3/13/2026</c:v>
                </c:pt>
                <c:pt idx="22">
                  <c:v>3/20/2026</c:v>
                </c:pt>
                <c:pt idx="23">
                  <c:v>3/27/2026</c:v>
                </c:pt>
                <c:pt idx="24">
                  <c:v>4/3/2026</c:v>
                </c:pt>
                <c:pt idx="25">
                  <c:v>4/10/2026</c:v>
                </c:pt>
                <c:pt idx="26">
                  <c:v>4/17/2026</c:v>
                </c:pt>
                <c:pt idx="27">
                  <c:v>4/24/2026</c:v>
                </c:pt>
                <c:pt idx="28">
                  <c:v>5/1/2026</c:v>
                </c:pt>
                <c:pt idx="29">
                  <c:v>5/8/2026</c:v>
                </c:pt>
                <c:pt idx="30">
                  <c:v>5/15/2026</c:v>
                </c:pt>
                <c:pt idx="31">
                  <c:v>5/22/2026</c:v>
                </c:pt>
                <c:pt idx="32">
                  <c:v>05/29/2026</c:v>
                </c:pt>
                <c:pt idx="33">
                  <c:v>6/5/2026</c:v>
                </c:pt>
                <c:pt idx="34">
                  <c:v>6/12/2026</c:v>
                </c:pt>
                <c:pt idx="35">
                  <c:v>6/19/2026</c:v>
                </c:pt>
                <c:pt idx="36">
                  <c:v>6/26/2026</c:v>
                </c:pt>
              </c:strCache>
            </c:strRef>
          </c:cat>
          <c:val>
            <c:numRef>
              <c:f>NittyGrittySheet!$B$163:$AL$163</c:f>
              <c:numCache>
                <c:formatCode>General</c:formatCode>
                <c:ptCount val="37"/>
                <c:pt idx="0">
                  <c:v>16</c:v>
                </c:pt>
                <c:pt idx="1">
                  <c:v>16</c:v>
                </c:pt>
                <c:pt idx="2">
                  <c:v>16</c:v>
                </c:pt>
                <c:pt idx="3">
                  <c:v>16</c:v>
                </c:pt>
                <c:pt idx="4">
                  <c:v>17</c:v>
                </c:pt>
                <c:pt idx="5">
                  <c:v>17</c:v>
                </c:pt>
                <c:pt idx="6">
                  <c:v>18</c:v>
                </c:pt>
                <c:pt idx="7">
                  <c:v>18</c:v>
                </c:pt>
                <c:pt idx="8">
                  <c:v>18</c:v>
                </c:pt>
                <c:pt idx="9">
                  <c:v>19</c:v>
                </c:pt>
                <c:pt idx="10">
                  <c:v>19</c:v>
                </c:pt>
                <c:pt idx="11">
                  <c:v>19</c:v>
                </c:pt>
                <c:pt idx="12">
                  <c:v>20</c:v>
                </c:pt>
                <c:pt idx="13">
                  <c:v>21</c:v>
                </c:pt>
                <c:pt idx="14">
                  <c:v>23</c:v>
                </c:pt>
                <c:pt idx="15">
                  <c:v>23</c:v>
                </c:pt>
                <c:pt idx="16">
                  <c:v>23</c:v>
                </c:pt>
                <c:pt idx="17">
                  <c:v>23</c:v>
                </c:pt>
                <c:pt idx="18">
                  <c:v>22</c:v>
                </c:pt>
                <c:pt idx="19">
                  <c:v>22</c:v>
                </c:pt>
                <c:pt idx="20">
                  <c:v>22</c:v>
                </c:pt>
                <c:pt idx="21">
                  <c:v>24</c:v>
                </c:pt>
                <c:pt idx="22">
                  <c:v>24</c:v>
                </c:pt>
                <c:pt idx="23">
                  <c:v>24</c:v>
                </c:pt>
                <c:pt idx="24">
                  <c:v>23</c:v>
                </c:pt>
                <c:pt idx="25">
                  <c:v>23</c:v>
                </c:pt>
                <c:pt idx="26">
                  <c:v>23</c:v>
                </c:pt>
                <c:pt idx="27">
                  <c:v>23</c:v>
                </c:pt>
                <c:pt idx="28">
                  <c:v>23</c:v>
                </c:pt>
                <c:pt idx="29">
                  <c:v>26</c:v>
                </c:pt>
                <c:pt idx="30">
                  <c:v>27</c:v>
                </c:pt>
                <c:pt idx="31">
                  <c:v>27</c:v>
                </c:pt>
                <c:pt idx="32">
                  <c:v>27</c:v>
                </c:pt>
                <c:pt idx="33">
                  <c:v>28</c:v>
                </c:pt>
                <c:pt idx="34">
                  <c:v>28</c:v>
                </c:pt>
                <c:pt idx="35">
                  <c:v>28</c:v>
                </c:pt>
                <c:pt idx="36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BF-44D2-A305-2DE38473BD51}"/>
            </c:ext>
          </c:extLst>
        </c:ser>
        <c:ser>
          <c:idx val="1"/>
          <c:order val="1"/>
          <c:tx>
            <c:strRef>
              <c:f>NittyGrittySheet!$A$164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NittyGrittySheet!$B$162:$AL$162</c:f>
              <c:strCache>
                <c:ptCount val="37"/>
                <c:pt idx="0">
                  <c:v>10/13/2025</c:v>
                </c:pt>
                <c:pt idx="1">
                  <c:v>10/17/2025</c:v>
                </c:pt>
                <c:pt idx="2">
                  <c:v>10/24/2025</c:v>
                </c:pt>
                <c:pt idx="3">
                  <c:v>10/31/2025</c:v>
                </c:pt>
                <c:pt idx="4">
                  <c:v>11/7/2025</c:v>
                </c:pt>
                <c:pt idx="5">
                  <c:v>11/14/2025</c:v>
                </c:pt>
                <c:pt idx="6">
                  <c:v>11/21/2025</c:v>
                </c:pt>
                <c:pt idx="7">
                  <c:v>11/28/2025</c:v>
                </c:pt>
                <c:pt idx="8">
                  <c:v>12/5/2025</c:v>
                </c:pt>
                <c:pt idx="9">
                  <c:v>12/12/2025</c:v>
                </c:pt>
                <c:pt idx="10">
                  <c:v>12/19/2025</c:v>
                </c:pt>
                <c:pt idx="11">
                  <c:v>12/26/2025</c:v>
                </c:pt>
                <c:pt idx="12">
                  <c:v>1/2/2026</c:v>
                </c:pt>
                <c:pt idx="13">
                  <c:v>1/9/2026</c:v>
                </c:pt>
                <c:pt idx="14">
                  <c:v>1/16/2026</c:v>
                </c:pt>
                <c:pt idx="15">
                  <c:v>1/23/2026</c:v>
                </c:pt>
                <c:pt idx="16">
                  <c:v>1/30/2026</c:v>
                </c:pt>
                <c:pt idx="17">
                  <c:v>2/6/2026</c:v>
                </c:pt>
                <c:pt idx="18">
                  <c:v>2/13/2026</c:v>
                </c:pt>
                <c:pt idx="19">
                  <c:v>2/20/2026</c:v>
                </c:pt>
                <c:pt idx="20">
                  <c:v>2/27/2026</c:v>
                </c:pt>
                <c:pt idx="21">
                  <c:v>3/13/2026</c:v>
                </c:pt>
                <c:pt idx="22">
                  <c:v>3/20/2026</c:v>
                </c:pt>
                <c:pt idx="23">
                  <c:v>3/27/2026</c:v>
                </c:pt>
                <c:pt idx="24">
                  <c:v>4/3/2026</c:v>
                </c:pt>
                <c:pt idx="25">
                  <c:v>4/10/2026</c:v>
                </c:pt>
                <c:pt idx="26">
                  <c:v>4/17/2026</c:v>
                </c:pt>
                <c:pt idx="27">
                  <c:v>4/24/2026</c:v>
                </c:pt>
                <c:pt idx="28">
                  <c:v>5/1/2026</c:v>
                </c:pt>
                <c:pt idx="29">
                  <c:v>5/8/2026</c:v>
                </c:pt>
                <c:pt idx="30">
                  <c:v>5/15/2026</c:v>
                </c:pt>
                <c:pt idx="31">
                  <c:v>5/22/2026</c:v>
                </c:pt>
                <c:pt idx="32">
                  <c:v>05/29/2026</c:v>
                </c:pt>
                <c:pt idx="33">
                  <c:v>6/5/2026</c:v>
                </c:pt>
                <c:pt idx="34">
                  <c:v>6/12/2026</c:v>
                </c:pt>
                <c:pt idx="35">
                  <c:v>6/19/2026</c:v>
                </c:pt>
                <c:pt idx="36">
                  <c:v>6/26/2026</c:v>
                </c:pt>
              </c:strCache>
            </c:strRef>
          </c:cat>
          <c:val>
            <c:numRef>
              <c:f>NittyGrittySheet!$B$164:$AL$164</c:f>
              <c:numCache>
                <c:formatCode>General</c:formatCode>
                <c:ptCount val="37"/>
                <c:pt idx="0">
                  <c:v>23</c:v>
                </c:pt>
                <c:pt idx="1">
                  <c:v>23</c:v>
                </c:pt>
                <c:pt idx="2">
                  <c:v>24</c:v>
                </c:pt>
                <c:pt idx="3">
                  <c:v>24</c:v>
                </c:pt>
                <c:pt idx="4">
                  <c:v>23</c:v>
                </c:pt>
                <c:pt idx="5">
                  <c:v>22</c:v>
                </c:pt>
                <c:pt idx="6">
                  <c:v>23</c:v>
                </c:pt>
                <c:pt idx="7">
                  <c:v>21</c:v>
                </c:pt>
                <c:pt idx="8">
                  <c:v>20</c:v>
                </c:pt>
                <c:pt idx="9">
                  <c:v>19</c:v>
                </c:pt>
                <c:pt idx="10">
                  <c:v>19</c:v>
                </c:pt>
                <c:pt idx="11">
                  <c:v>21</c:v>
                </c:pt>
                <c:pt idx="12">
                  <c:v>20</c:v>
                </c:pt>
                <c:pt idx="13">
                  <c:v>20</c:v>
                </c:pt>
                <c:pt idx="14">
                  <c:v>19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22</c:v>
                </c:pt>
                <c:pt idx="19">
                  <c:v>22</c:v>
                </c:pt>
                <c:pt idx="20">
                  <c:v>22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19</c:v>
                </c:pt>
                <c:pt idx="25">
                  <c:v>18</c:v>
                </c:pt>
                <c:pt idx="26">
                  <c:v>17</c:v>
                </c:pt>
                <c:pt idx="27">
                  <c:v>18</c:v>
                </c:pt>
                <c:pt idx="28">
                  <c:v>18</c:v>
                </c:pt>
                <c:pt idx="29">
                  <c:v>14</c:v>
                </c:pt>
                <c:pt idx="30">
                  <c:v>14</c:v>
                </c:pt>
                <c:pt idx="31">
                  <c:v>14</c:v>
                </c:pt>
                <c:pt idx="32">
                  <c:v>14</c:v>
                </c:pt>
                <c:pt idx="33">
                  <c:v>10</c:v>
                </c:pt>
                <c:pt idx="34">
                  <c:v>10</c:v>
                </c:pt>
                <c:pt idx="35">
                  <c:v>10</c:v>
                </c:pt>
                <c:pt idx="36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BF-44D2-A305-2DE38473BD51}"/>
            </c:ext>
          </c:extLst>
        </c:ser>
        <c:ser>
          <c:idx val="3"/>
          <c:order val="3"/>
          <c:tx>
            <c:strRef>
              <c:f>NittyGrittySheet!$A$166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NittyGrittySheet!$B$162:$AL$162</c:f>
              <c:strCache>
                <c:ptCount val="37"/>
                <c:pt idx="0">
                  <c:v>10/13/2025</c:v>
                </c:pt>
                <c:pt idx="1">
                  <c:v>10/17/2025</c:v>
                </c:pt>
                <c:pt idx="2">
                  <c:v>10/24/2025</c:v>
                </c:pt>
                <c:pt idx="3">
                  <c:v>10/31/2025</c:v>
                </c:pt>
                <c:pt idx="4">
                  <c:v>11/7/2025</c:v>
                </c:pt>
                <c:pt idx="5">
                  <c:v>11/14/2025</c:v>
                </c:pt>
                <c:pt idx="6">
                  <c:v>11/21/2025</c:v>
                </c:pt>
                <c:pt idx="7">
                  <c:v>11/28/2025</c:v>
                </c:pt>
                <c:pt idx="8">
                  <c:v>12/5/2025</c:v>
                </c:pt>
                <c:pt idx="9">
                  <c:v>12/12/2025</c:v>
                </c:pt>
                <c:pt idx="10">
                  <c:v>12/19/2025</c:v>
                </c:pt>
                <c:pt idx="11">
                  <c:v>12/26/2025</c:v>
                </c:pt>
                <c:pt idx="12">
                  <c:v>1/2/2026</c:v>
                </c:pt>
                <c:pt idx="13">
                  <c:v>1/9/2026</c:v>
                </c:pt>
                <c:pt idx="14">
                  <c:v>1/16/2026</c:v>
                </c:pt>
                <c:pt idx="15">
                  <c:v>1/23/2026</c:v>
                </c:pt>
                <c:pt idx="16">
                  <c:v>1/30/2026</c:v>
                </c:pt>
                <c:pt idx="17">
                  <c:v>2/6/2026</c:v>
                </c:pt>
                <c:pt idx="18">
                  <c:v>2/13/2026</c:v>
                </c:pt>
                <c:pt idx="19">
                  <c:v>2/20/2026</c:v>
                </c:pt>
                <c:pt idx="20">
                  <c:v>2/27/2026</c:v>
                </c:pt>
                <c:pt idx="21">
                  <c:v>3/13/2026</c:v>
                </c:pt>
                <c:pt idx="22">
                  <c:v>3/20/2026</c:v>
                </c:pt>
                <c:pt idx="23">
                  <c:v>3/27/2026</c:v>
                </c:pt>
                <c:pt idx="24">
                  <c:v>4/3/2026</c:v>
                </c:pt>
                <c:pt idx="25">
                  <c:v>4/10/2026</c:v>
                </c:pt>
                <c:pt idx="26">
                  <c:v>4/17/2026</c:v>
                </c:pt>
                <c:pt idx="27">
                  <c:v>4/24/2026</c:v>
                </c:pt>
                <c:pt idx="28">
                  <c:v>5/1/2026</c:v>
                </c:pt>
                <c:pt idx="29">
                  <c:v>5/8/2026</c:v>
                </c:pt>
                <c:pt idx="30">
                  <c:v>5/15/2026</c:v>
                </c:pt>
                <c:pt idx="31">
                  <c:v>5/22/2026</c:v>
                </c:pt>
                <c:pt idx="32">
                  <c:v>05/29/2026</c:v>
                </c:pt>
                <c:pt idx="33">
                  <c:v>6/5/2026</c:v>
                </c:pt>
                <c:pt idx="34">
                  <c:v>6/12/2026</c:v>
                </c:pt>
                <c:pt idx="35">
                  <c:v>6/19/2026</c:v>
                </c:pt>
                <c:pt idx="36">
                  <c:v>6/26/2026</c:v>
                </c:pt>
              </c:strCache>
            </c:strRef>
          </c:cat>
          <c:val>
            <c:numRef>
              <c:f>NittyGrittySheet!$B$166:$AL$166</c:f>
              <c:numCache>
                <c:formatCode>General</c:formatCode>
                <c:ptCount val="37"/>
                <c:pt idx="0">
                  <c:v>29</c:v>
                </c:pt>
                <c:pt idx="1">
                  <c:v>29</c:v>
                </c:pt>
                <c:pt idx="2">
                  <c:v>29</c:v>
                </c:pt>
                <c:pt idx="3">
                  <c:v>29</c:v>
                </c:pt>
                <c:pt idx="4">
                  <c:v>28</c:v>
                </c:pt>
                <c:pt idx="5">
                  <c:v>28</c:v>
                </c:pt>
                <c:pt idx="6">
                  <c:v>28</c:v>
                </c:pt>
                <c:pt idx="7">
                  <c:v>27</c:v>
                </c:pt>
                <c:pt idx="8">
                  <c:v>28</c:v>
                </c:pt>
                <c:pt idx="9">
                  <c:v>28</c:v>
                </c:pt>
                <c:pt idx="10">
                  <c:v>28</c:v>
                </c:pt>
                <c:pt idx="11">
                  <c:v>26</c:v>
                </c:pt>
                <c:pt idx="12">
                  <c:v>26</c:v>
                </c:pt>
                <c:pt idx="13">
                  <c:v>25</c:v>
                </c:pt>
                <c:pt idx="14">
                  <c:v>22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18</c:v>
                </c:pt>
                <c:pt idx="19">
                  <c:v>18</c:v>
                </c:pt>
                <c:pt idx="20">
                  <c:v>17</c:v>
                </c:pt>
                <c:pt idx="21">
                  <c:v>16</c:v>
                </c:pt>
                <c:pt idx="22">
                  <c:v>15</c:v>
                </c:pt>
                <c:pt idx="23">
                  <c:v>10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3</c:v>
                </c:pt>
                <c:pt idx="28">
                  <c:v>3</c:v>
                </c:pt>
                <c:pt idx="29">
                  <c:v>2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2</c:v>
                </c:pt>
                <c:pt idx="3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54-49C1-A2EF-44D66B52AE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NittyGrittySheet!$A$165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NittyGrittySheet!$B$162:$AL$162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NittyGrittySheet!$B$165:$AL$165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3</c:v>
                      </c:pt>
                      <c:pt idx="34">
                        <c:v>3</c:v>
                      </c:pt>
                      <c:pt idx="35">
                        <c:v>3</c:v>
                      </c:pt>
                      <c:pt idx="36">
                        <c:v>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8654-49C1-A2EF-44D66B52AE28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NittyGrittySheet!$A$167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NittyGrittySheet!$B$162:$AL$162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NittyGrittySheet!$B$167:$AL$167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6</c:v>
                      </c:pt>
                      <c:pt idx="1">
                        <c:v>6</c:v>
                      </c:pt>
                      <c:pt idx="2">
                        <c:v>6</c:v>
                      </c:pt>
                      <c:pt idx="3">
                        <c:v>6</c:v>
                      </c:pt>
                      <c:pt idx="4">
                        <c:v>6</c:v>
                      </c:pt>
                      <c:pt idx="5">
                        <c:v>6</c:v>
                      </c:pt>
                      <c:pt idx="6">
                        <c:v>6</c:v>
                      </c:pt>
                      <c:pt idx="7">
                        <c:v>6</c:v>
                      </c:pt>
                      <c:pt idx="8">
                        <c:v>7</c:v>
                      </c:pt>
                      <c:pt idx="9">
                        <c:v>8</c:v>
                      </c:pt>
                      <c:pt idx="10">
                        <c:v>8</c:v>
                      </c:pt>
                      <c:pt idx="11">
                        <c:v>8</c:v>
                      </c:pt>
                      <c:pt idx="12">
                        <c:v>8</c:v>
                      </c:pt>
                      <c:pt idx="13">
                        <c:v>8</c:v>
                      </c:pt>
                      <c:pt idx="14">
                        <c:v>9</c:v>
                      </c:pt>
                      <c:pt idx="15">
                        <c:v>9</c:v>
                      </c:pt>
                      <c:pt idx="16">
                        <c:v>9</c:v>
                      </c:pt>
                      <c:pt idx="17">
                        <c:v>9</c:v>
                      </c:pt>
                      <c:pt idx="18">
                        <c:v>9</c:v>
                      </c:pt>
                      <c:pt idx="19">
                        <c:v>9</c:v>
                      </c:pt>
                      <c:pt idx="20">
                        <c:v>9</c:v>
                      </c:pt>
                      <c:pt idx="21">
                        <c:v>10</c:v>
                      </c:pt>
                      <c:pt idx="22">
                        <c:v>10</c:v>
                      </c:pt>
                      <c:pt idx="23">
                        <c:v>12</c:v>
                      </c:pt>
                      <c:pt idx="24">
                        <c:v>13</c:v>
                      </c:pt>
                      <c:pt idx="25">
                        <c:v>13</c:v>
                      </c:pt>
                      <c:pt idx="26">
                        <c:v>13</c:v>
                      </c:pt>
                      <c:pt idx="27">
                        <c:v>13</c:v>
                      </c:pt>
                      <c:pt idx="28">
                        <c:v>13</c:v>
                      </c:pt>
                      <c:pt idx="29">
                        <c:v>13</c:v>
                      </c:pt>
                      <c:pt idx="30">
                        <c:v>13</c:v>
                      </c:pt>
                      <c:pt idx="31">
                        <c:v>13</c:v>
                      </c:pt>
                      <c:pt idx="32">
                        <c:v>13</c:v>
                      </c:pt>
                      <c:pt idx="33">
                        <c:v>14</c:v>
                      </c:pt>
                      <c:pt idx="34">
                        <c:v>14</c:v>
                      </c:pt>
                      <c:pt idx="35">
                        <c:v>14</c:v>
                      </c:pt>
                      <c:pt idx="36">
                        <c:v>14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8654-49C1-A2EF-44D66B52AE28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NittyGrittySheet!$A$168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NittyGrittySheet!$B$162:$AL$162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NittyGrittySheet!$B$168:$AL$168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8654-49C1-A2EF-44D66B52AE28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NittyGrittySheet!$A$169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NittyGrittySheet!$B$162:$AL$162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NittyGrittySheet!$B$169:$AL$169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3</c:v>
                      </c:pt>
                      <c:pt idx="1">
                        <c:v>3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6</c:v>
                      </c:pt>
                      <c:pt idx="8">
                        <c:v>7</c:v>
                      </c:pt>
                      <c:pt idx="9">
                        <c:v>7</c:v>
                      </c:pt>
                      <c:pt idx="10">
                        <c:v>7</c:v>
                      </c:pt>
                      <c:pt idx="11">
                        <c:v>7</c:v>
                      </c:pt>
                      <c:pt idx="12">
                        <c:v>7</c:v>
                      </c:pt>
                      <c:pt idx="13">
                        <c:v>7</c:v>
                      </c:pt>
                      <c:pt idx="14">
                        <c:v>8</c:v>
                      </c:pt>
                      <c:pt idx="15">
                        <c:v>8</c:v>
                      </c:pt>
                      <c:pt idx="16">
                        <c:v>8</c:v>
                      </c:pt>
                      <c:pt idx="17">
                        <c:v>8</c:v>
                      </c:pt>
                      <c:pt idx="18">
                        <c:v>8</c:v>
                      </c:pt>
                      <c:pt idx="19">
                        <c:v>8</c:v>
                      </c:pt>
                      <c:pt idx="20">
                        <c:v>8</c:v>
                      </c:pt>
                      <c:pt idx="21">
                        <c:v>8</c:v>
                      </c:pt>
                      <c:pt idx="22">
                        <c:v>8</c:v>
                      </c:pt>
                      <c:pt idx="23">
                        <c:v>12</c:v>
                      </c:pt>
                      <c:pt idx="24">
                        <c:v>16</c:v>
                      </c:pt>
                      <c:pt idx="25">
                        <c:v>16</c:v>
                      </c:pt>
                      <c:pt idx="26">
                        <c:v>16</c:v>
                      </c:pt>
                      <c:pt idx="27">
                        <c:v>14</c:v>
                      </c:pt>
                      <c:pt idx="28">
                        <c:v>14</c:v>
                      </c:pt>
                      <c:pt idx="29">
                        <c:v>15</c:v>
                      </c:pt>
                      <c:pt idx="30">
                        <c:v>15</c:v>
                      </c:pt>
                      <c:pt idx="31">
                        <c:v>15</c:v>
                      </c:pt>
                      <c:pt idx="32">
                        <c:v>15</c:v>
                      </c:pt>
                      <c:pt idx="33">
                        <c:v>15</c:v>
                      </c:pt>
                      <c:pt idx="34">
                        <c:v>15</c:v>
                      </c:pt>
                      <c:pt idx="35">
                        <c:v>15</c:v>
                      </c:pt>
                      <c:pt idx="36">
                        <c:v>15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8654-49C1-A2EF-44D66B52AE28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NittyGrittySheet!$A$170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NittyGrittySheet!$B$162:$AL$162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NittyGrittySheet!$B$170:$AL$170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3</c:v>
                      </c:pt>
                      <c:pt idx="7">
                        <c:v>3</c:v>
                      </c:pt>
                      <c:pt idx="8">
                        <c:v>3</c:v>
                      </c:pt>
                      <c:pt idx="9">
                        <c:v>3</c:v>
                      </c:pt>
                      <c:pt idx="10">
                        <c:v>3</c:v>
                      </c:pt>
                      <c:pt idx="11">
                        <c:v>3</c:v>
                      </c:pt>
                      <c:pt idx="12">
                        <c:v>3</c:v>
                      </c:pt>
                      <c:pt idx="13">
                        <c:v>3</c:v>
                      </c:pt>
                      <c:pt idx="14">
                        <c:v>3</c:v>
                      </c:pt>
                      <c:pt idx="15">
                        <c:v>3</c:v>
                      </c:pt>
                      <c:pt idx="16">
                        <c:v>3</c:v>
                      </c:pt>
                      <c:pt idx="17">
                        <c:v>3</c:v>
                      </c:pt>
                      <c:pt idx="18">
                        <c:v>3</c:v>
                      </c:pt>
                      <c:pt idx="19">
                        <c:v>3</c:v>
                      </c:pt>
                      <c:pt idx="20">
                        <c:v>3</c:v>
                      </c:pt>
                      <c:pt idx="21">
                        <c:v>3</c:v>
                      </c:pt>
                      <c:pt idx="22">
                        <c:v>4</c:v>
                      </c:pt>
                      <c:pt idx="23">
                        <c:v>3</c:v>
                      </c:pt>
                      <c:pt idx="24">
                        <c:v>2</c:v>
                      </c:pt>
                      <c:pt idx="25">
                        <c:v>2</c:v>
                      </c:pt>
                      <c:pt idx="26">
                        <c:v>2</c:v>
                      </c:pt>
                      <c:pt idx="27">
                        <c:v>2</c:v>
                      </c:pt>
                      <c:pt idx="28">
                        <c:v>2</c:v>
                      </c:pt>
                      <c:pt idx="29">
                        <c:v>2</c:v>
                      </c:pt>
                      <c:pt idx="30">
                        <c:v>2</c:v>
                      </c:pt>
                      <c:pt idx="31">
                        <c:v>2</c:v>
                      </c:pt>
                      <c:pt idx="32">
                        <c:v>2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8654-49C1-A2EF-44D66B52AE28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NittyGrittySheet!$A$171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NittyGrittySheet!$B$162:$AL$162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NittyGrittySheet!$B$171:$AL$171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8654-49C1-A2EF-44D66B52AE28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NittyGrittySheet!$A$172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NittyGrittySheet!$B$162:$AL$162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NittyGrittySheet!$B$172:$AL$172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4</c:v>
                      </c:pt>
                      <c:pt idx="1">
                        <c:v>4</c:v>
                      </c:pt>
                      <c:pt idx="2">
                        <c:v>4</c:v>
                      </c:pt>
                      <c:pt idx="3">
                        <c:v>4</c:v>
                      </c:pt>
                      <c:pt idx="4">
                        <c:v>4</c:v>
                      </c:pt>
                      <c:pt idx="5">
                        <c:v>4</c:v>
                      </c:pt>
                      <c:pt idx="6">
                        <c:v>4</c:v>
                      </c:pt>
                      <c:pt idx="7">
                        <c:v>4</c:v>
                      </c:pt>
                      <c:pt idx="8">
                        <c:v>5</c:v>
                      </c:pt>
                      <c:pt idx="9">
                        <c:v>6</c:v>
                      </c:pt>
                      <c:pt idx="10">
                        <c:v>6</c:v>
                      </c:pt>
                      <c:pt idx="11">
                        <c:v>6</c:v>
                      </c:pt>
                      <c:pt idx="12">
                        <c:v>6</c:v>
                      </c:pt>
                      <c:pt idx="13">
                        <c:v>6</c:v>
                      </c:pt>
                      <c:pt idx="14">
                        <c:v>6</c:v>
                      </c:pt>
                      <c:pt idx="15">
                        <c:v>6</c:v>
                      </c:pt>
                      <c:pt idx="16">
                        <c:v>6</c:v>
                      </c:pt>
                      <c:pt idx="17">
                        <c:v>6</c:v>
                      </c:pt>
                      <c:pt idx="18">
                        <c:v>6</c:v>
                      </c:pt>
                      <c:pt idx="19">
                        <c:v>6</c:v>
                      </c:pt>
                      <c:pt idx="20">
                        <c:v>6</c:v>
                      </c:pt>
                      <c:pt idx="21">
                        <c:v>6</c:v>
                      </c:pt>
                      <c:pt idx="22">
                        <c:v>6</c:v>
                      </c:pt>
                      <c:pt idx="23">
                        <c:v>6</c:v>
                      </c:pt>
                      <c:pt idx="24">
                        <c:v>7</c:v>
                      </c:pt>
                      <c:pt idx="25">
                        <c:v>7</c:v>
                      </c:pt>
                      <c:pt idx="26">
                        <c:v>8</c:v>
                      </c:pt>
                      <c:pt idx="27">
                        <c:v>7</c:v>
                      </c:pt>
                      <c:pt idx="28">
                        <c:v>7</c:v>
                      </c:pt>
                      <c:pt idx="29">
                        <c:v>8</c:v>
                      </c:pt>
                      <c:pt idx="30">
                        <c:v>7</c:v>
                      </c:pt>
                      <c:pt idx="31">
                        <c:v>7</c:v>
                      </c:pt>
                      <c:pt idx="32">
                        <c:v>7</c:v>
                      </c:pt>
                      <c:pt idx="33">
                        <c:v>7</c:v>
                      </c:pt>
                      <c:pt idx="34">
                        <c:v>7</c:v>
                      </c:pt>
                      <c:pt idx="35">
                        <c:v>7</c:v>
                      </c:pt>
                      <c:pt idx="36">
                        <c:v>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8654-49C1-A2EF-44D66B52AE28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NittyGrittySheet!$A$173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NittyGrittySheet!$B$162:$AL$162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NittyGrittySheet!$B$173:$AL$173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81</c:v>
                      </c:pt>
                      <c:pt idx="1">
                        <c:v>81</c:v>
                      </c:pt>
                      <c:pt idx="2">
                        <c:v>82</c:v>
                      </c:pt>
                      <c:pt idx="3">
                        <c:v>82</c:v>
                      </c:pt>
                      <c:pt idx="4">
                        <c:v>82</c:v>
                      </c:pt>
                      <c:pt idx="5">
                        <c:v>81</c:v>
                      </c:pt>
                      <c:pt idx="6">
                        <c:v>85</c:v>
                      </c:pt>
                      <c:pt idx="7">
                        <c:v>85</c:v>
                      </c:pt>
                      <c:pt idx="8">
                        <c:v>88</c:v>
                      </c:pt>
                      <c:pt idx="9">
                        <c:v>90</c:v>
                      </c:pt>
                      <c:pt idx="10">
                        <c:v>90</c:v>
                      </c:pt>
                      <c:pt idx="11">
                        <c:v>90</c:v>
                      </c:pt>
                      <c:pt idx="12">
                        <c:v>90</c:v>
                      </c:pt>
                      <c:pt idx="13">
                        <c:v>90</c:v>
                      </c:pt>
                      <c:pt idx="14">
                        <c:v>90</c:v>
                      </c:pt>
                      <c:pt idx="15">
                        <c:v>89</c:v>
                      </c:pt>
                      <c:pt idx="16">
                        <c:v>89</c:v>
                      </c:pt>
                      <c:pt idx="17">
                        <c:v>89</c:v>
                      </c:pt>
                      <c:pt idx="18">
                        <c:v>88</c:v>
                      </c:pt>
                      <c:pt idx="19">
                        <c:v>88</c:v>
                      </c:pt>
                      <c:pt idx="20">
                        <c:v>88</c:v>
                      </c:pt>
                      <c:pt idx="21">
                        <c:v>87</c:v>
                      </c:pt>
                      <c:pt idx="22">
                        <c:v>87</c:v>
                      </c:pt>
                      <c:pt idx="23">
                        <c:v>87</c:v>
                      </c:pt>
                      <c:pt idx="24">
                        <c:v>85</c:v>
                      </c:pt>
                      <c:pt idx="25">
                        <c:v>84</c:v>
                      </c:pt>
                      <c:pt idx="26">
                        <c:v>84</c:v>
                      </c:pt>
                      <c:pt idx="27">
                        <c:v>81</c:v>
                      </c:pt>
                      <c:pt idx="28">
                        <c:v>81</c:v>
                      </c:pt>
                      <c:pt idx="29">
                        <c:v>81</c:v>
                      </c:pt>
                      <c:pt idx="30">
                        <c:v>80</c:v>
                      </c:pt>
                      <c:pt idx="31">
                        <c:v>80</c:v>
                      </c:pt>
                      <c:pt idx="32">
                        <c:v>80</c:v>
                      </c:pt>
                      <c:pt idx="33">
                        <c:v>80</c:v>
                      </c:pt>
                      <c:pt idx="34">
                        <c:v>80</c:v>
                      </c:pt>
                      <c:pt idx="35">
                        <c:v>81</c:v>
                      </c:pt>
                      <c:pt idx="36">
                        <c:v>81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8654-49C1-A2EF-44D66B52AE28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% Placed 5 Year Summary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BSMktg!$O$24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BSMktg!$M$25:$M$38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BSMktg!$O$25:$O$38</c:f>
              <c:numCache>
                <c:formatCode>0.00%</c:formatCode>
                <c:ptCount val="14"/>
                <c:pt idx="0">
                  <c:v>0.10476190476190476</c:v>
                </c:pt>
                <c:pt idx="1">
                  <c:v>0.13333333333333333</c:v>
                </c:pt>
                <c:pt idx="2">
                  <c:v>0.14285714285714285</c:v>
                </c:pt>
                <c:pt idx="3">
                  <c:v>0.19047619047619047</c:v>
                </c:pt>
                <c:pt idx="4">
                  <c:v>0.23809523809523808</c:v>
                </c:pt>
                <c:pt idx="5">
                  <c:v>0.3619047619047619</c:v>
                </c:pt>
                <c:pt idx="6">
                  <c:v>0.47619047619047616</c:v>
                </c:pt>
                <c:pt idx="7">
                  <c:v>0.52380952380952384</c:v>
                </c:pt>
                <c:pt idx="8">
                  <c:v>0.59047619047619049</c:v>
                </c:pt>
                <c:pt idx="9">
                  <c:v>0.65714285714285714</c:v>
                </c:pt>
                <c:pt idx="10">
                  <c:v>0.72380952380952379</c:v>
                </c:pt>
                <c:pt idx="11">
                  <c:v>0.89523809523809528</c:v>
                </c:pt>
                <c:pt idx="12">
                  <c:v>0.92380952380952386</c:v>
                </c:pt>
                <c:pt idx="13">
                  <c:v>0.97140000000000004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F3-4121-8BE8-4205CABD6E27}"/>
            </c:ext>
          </c:extLst>
        </c:ser>
        <c:ser>
          <c:idx val="2"/>
          <c:order val="1"/>
          <c:tx>
            <c:strRef>
              <c:f>BSMktg!$P$24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BSMktg!$M$25:$M$38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BSMktg!$P$25:$P$38</c:f>
              <c:numCache>
                <c:formatCode>0.00%</c:formatCode>
                <c:ptCount val="14"/>
                <c:pt idx="0">
                  <c:v>0.16842105263157894</c:v>
                </c:pt>
                <c:pt idx="1">
                  <c:v>0.17894736842105263</c:v>
                </c:pt>
                <c:pt idx="2">
                  <c:v>0.26315789473684209</c:v>
                </c:pt>
                <c:pt idx="3">
                  <c:v>0.27368421052631581</c:v>
                </c:pt>
                <c:pt idx="4">
                  <c:v>0.29473684210526313</c:v>
                </c:pt>
                <c:pt idx="5">
                  <c:v>0.41052631578947368</c:v>
                </c:pt>
                <c:pt idx="6">
                  <c:v>0.49473684210526314</c:v>
                </c:pt>
                <c:pt idx="7">
                  <c:v>0.49473684210526314</c:v>
                </c:pt>
                <c:pt idx="8">
                  <c:v>0.57894736842105265</c:v>
                </c:pt>
                <c:pt idx="9">
                  <c:v>0.74736842105263157</c:v>
                </c:pt>
                <c:pt idx="10">
                  <c:v>0.86315789473684212</c:v>
                </c:pt>
                <c:pt idx="11">
                  <c:v>0.9263157894736842</c:v>
                </c:pt>
                <c:pt idx="12">
                  <c:v>0.93684210526315792</c:v>
                </c:pt>
                <c:pt idx="13">
                  <c:v>0.98950000000000005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57F3-4121-8BE8-4205CABD6E27}"/>
            </c:ext>
          </c:extLst>
        </c:ser>
        <c:ser>
          <c:idx val="3"/>
          <c:order val="2"/>
          <c:tx>
            <c:strRef>
              <c:f>BSMktg!$Q$24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BSMktg!$M$25:$M$38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BSMktg!$Q$25:$Q$38</c:f>
              <c:numCache>
                <c:formatCode>0.00%</c:formatCode>
                <c:ptCount val="14"/>
                <c:pt idx="0">
                  <c:v>7.407407407407407E-2</c:v>
                </c:pt>
                <c:pt idx="1">
                  <c:v>9.8765432098765427E-2</c:v>
                </c:pt>
                <c:pt idx="2">
                  <c:v>0.1111111111111111</c:v>
                </c:pt>
                <c:pt idx="3">
                  <c:v>0.12345679012345678</c:v>
                </c:pt>
                <c:pt idx="4">
                  <c:v>0.19753086419753085</c:v>
                </c:pt>
                <c:pt idx="5">
                  <c:v>0.19753086419753085</c:v>
                </c:pt>
                <c:pt idx="6">
                  <c:v>0.27160493827160492</c:v>
                </c:pt>
                <c:pt idx="7">
                  <c:v>0.33333333333333331</c:v>
                </c:pt>
                <c:pt idx="8">
                  <c:v>0.5679012345679012</c:v>
                </c:pt>
                <c:pt idx="9">
                  <c:v>0.7407407407407407</c:v>
                </c:pt>
                <c:pt idx="10">
                  <c:v>0.81481481481481477</c:v>
                </c:pt>
                <c:pt idx="11">
                  <c:v>0.85185185185185186</c:v>
                </c:pt>
                <c:pt idx="12">
                  <c:v>0.85185185185185186</c:v>
                </c:pt>
                <c:pt idx="13">
                  <c:v>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57F3-4121-8BE8-4205CABD6E27}"/>
            </c:ext>
          </c:extLst>
        </c:ser>
        <c:ser>
          <c:idx val="4"/>
          <c:order val="3"/>
          <c:tx>
            <c:strRef>
              <c:f>BSMktg!$R$24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BSMktg!$M$25:$M$38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BSMktg!$R$25:$R$38</c:f>
              <c:numCache>
                <c:formatCode>0.00%</c:formatCode>
                <c:ptCount val="14"/>
                <c:pt idx="0">
                  <c:v>6.8965517241379309E-2</c:v>
                </c:pt>
                <c:pt idx="1">
                  <c:v>0.12643678160919541</c:v>
                </c:pt>
                <c:pt idx="2">
                  <c:v>0.17241379310344829</c:v>
                </c:pt>
                <c:pt idx="3">
                  <c:v>0.19540229885057472</c:v>
                </c:pt>
                <c:pt idx="4">
                  <c:v>0.22988505747126436</c:v>
                </c:pt>
                <c:pt idx="5">
                  <c:v>0.27586206896551724</c:v>
                </c:pt>
                <c:pt idx="6">
                  <c:v>0.42528735632183906</c:v>
                </c:pt>
                <c:pt idx="7">
                  <c:v>0.57471264367816088</c:v>
                </c:pt>
                <c:pt idx="8">
                  <c:v>0.74712643678160917</c:v>
                </c:pt>
                <c:pt idx="9">
                  <c:v>0.87356321839080464</c:v>
                </c:pt>
                <c:pt idx="10">
                  <c:v>0.89655172413793105</c:v>
                </c:pt>
                <c:pt idx="11">
                  <c:v>0.93103448275862066</c:v>
                </c:pt>
                <c:pt idx="12">
                  <c:v>0.93103448275862066</c:v>
                </c:pt>
                <c:pt idx="13">
                  <c:v>0.98850000000000005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57F3-4121-8BE8-4205CABD6E27}"/>
            </c:ext>
          </c:extLst>
        </c:ser>
        <c:ser>
          <c:idx val="5"/>
          <c:order val="4"/>
          <c:tx>
            <c:strRef>
              <c:f>BSMktg!$S$24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BSMktg!$M$25:$M$38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BSMktg!$S$25:$S$38</c:f>
              <c:numCache>
                <c:formatCode>0.00%</c:formatCode>
                <c:ptCount val="14"/>
                <c:pt idx="0">
                  <c:v>5.2083333333333336E-2</c:v>
                </c:pt>
                <c:pt idx="1">
                  <c:v>8.3333333333333329E-2</c:v>
                </c:pt>
                <c:pt idx="2">
                  <c:v>0.125</c:v>
                </c:pt>
                <c:pt idx="3">
                  <c:v>0.20833333333333334</c:v>
                </c:pt>
                <c:pt idx="4">
                  <c:v>0.22916666666666666</c:v>
                </c:pt>
                <c:pt idx="5">
                  <c:v>0.29166666666666669</c:v>
                </c:pt>
                <c:pt idx="6">
                  <c:v>0.36458333333333331</c:v>
                </c:pt>
                <c:pt idx="7">
                  <c:v>0.5625</c:v>
                </c:pt>
                <c:pt idx="8">
                  <c:v>0.79166666666666663</c:v>
                </c:pt>
                <c:pt idx="9">
                  <c:v>0.85416666666666663</c:v>
                </c:pt>
                <c:pt idx="10">
                  <c:v>0.92708333333333337</c:v>
                </c:pt>
                <c:pt idx="11">
                  <c:v>0.95833333333333337</c:v>
                </c:pt>
                <c:pt idx="12">
                  <c:v>0.95833333333333337</c:v>
                </c:pt>
                <c:pt idx="13">
                  <c:v>0.98960000000000004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57F3-4121-8BE8-4205CABD6E27}"/>
            </c:ext>
          </c:extLst>
        </c:ser>
        <c:ser>
          <c:idx val="0"/>
          <c:order val="5"/>
          <c:tx>
            <c:strRef>
              <c:f>BSMktg!$N$24</c:f>
              <c:strCache>
                <c:ptCount val="1"/>
                <c:pt idx="0">
                  <c:v>2026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BSMktg!$M$25:$M$38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BSMktg!$N$25:$N$38</c:f>
              <c:numCache>
                <c:formatCode>0.00%</c:formatCode>
                <c:ptCount val="14"/>
                <c:pt idx="2">
                  <c:v>0.16109999999999999</c:v>
                </c:pt>
                <c:pt idx="3">
                  <c:v>0.18129999999999999</c:v>
                </c:pt>
                <c:pt idx="4">
                  <c:v>0.26779999999999998</c:v>
                </c:pt>
                <c:pt idx="5">
                  <c:v>0.33150000000000002</c:v>
                </c:pt>
                <c:pt idx="6">
                  <c:v>0.44309999999999999</c:v>
                </c:pt>
                <c:pt idx="7">
                  <c:v>0.60140000000000005</c:v>
                </c:pt>
                <c:pt idx="8">
                  <c:v>0.7258</c:v>
                </c:pt>
                <c:pt idx="9">
                  <c:v>0.78150000000000008</c:v>
                </c:pt>
                <c:pt idx="10">
                  <c:v>0.82239999999999991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F3-4121-8BE8-4205CABD6E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Placement %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NittyGrittySheet!$A$177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NittyGrittySheet!$B$176:$AL$176</c:f>
              <c:strCache>
                <c:ptCount val="37"/>
                <c:pt idx="0">
                  <c:v>10/13/2025</c:v>
                </c:pt>
                <c:pt idx="1">
                  <c:v>10/17/2025</c:v>
                </c:pt>
                <c:pt idx="2">
                  <c:v>10/24/2025</c:v>
                </c:pt>
                <c:pt idx="3">
                  <c:v>10/31/2025</c:v>
                </c:pt>
                <c:pt idx="4">
                  <c:v>11/7/2025</c:v>
                </c:pt>
                <c:pt idx="5">
                  <c:v>11/14/2025</c:v>
                </c:pt>
                <c:pt idx="6">
                  <c:v>11/21/2025</c:v>
                </c:pt>
                <c:pt idx="7">
                  <c:v>11/28/2025</c:v>
                </c:pt>
                <c:pt idx="8">
                  <c:v>12/5/2025</c:v>
                </c:pt>
                <c:pt idx="9">
                  <c:v>12/12/2025</c:v>
                </c:pt>
                <c:pt idx="10">
                  <c:v>12/19/2025</c:v>
                </c:pt>
                <c:pt idx="11">
                  <c:v>12/26/2025</c:v>
                </c:pt>
                <c:pt idx="12">
                  <c:v>1/2/2026</c:v>
                </c:pt>
                <c:pt idx="13">
                  <c:v>1/9/2026</c:v>
                </c:pt>
                <c:pt idx="14">
                  <c:v>1/16/2026</c:v>
                </c:pt>
                <c:pt idx="15">
                  <c:v>1/23/2026</c:v>
                </c:pt>
                <c:pt idx="16">
                  <c:v>1/30/2026</c:v>
                </c:pt>
                <c:pt idx="17">
                  <c:v>2/6/2026</c:v>
                </c:pt>
                <c:pt idx="18">
                  <c:v>2/13/2026</c:v>
                </c:pt>
                <c:pt idx="19">
                  <c:v>2/20/2026</c:v>
                </c:pt>
                <c:pt idx="20">
                  <c:v>2/27/2026</c:v>
                </c:pt>
                <c:pt idx="21">
                  <c:v>3/13/2026</c:v>
                </c:pt>
                <c:pt idx="22">
                  <c:v>3/20/2026</c:v>
                </c:pt>
                <c:pt idx="23">
                  <c:v>3/27/2026</c:v>
                </c:pt>
                <c:pt idx="24">
                  <c:v>4/3/2026</c:v>
                </c:pt>
                <c:pt idx="25">
                  <c:v>4/10/2026</c:v>
                </c:pt>
                <c:pt idx="26">
                  <c:v>4/17/2026</c:v>
                </c:pt>
                <c:pt idx="27">
                  <c:v>4/24/2026</c:v>
                </c:pt>
                <c:pt idx="28">
                  <c:v>5/1/2026</c:v>
                </c:pt>
                <c:pt idx="29">
                  <c:v>5/8/2026</c:v>
                </c:pt>
                <c:pt idx="30">
                  <c:v>5/15/2026</c:v>
                </c:pt>
                <c:pt idx="31">
                  <c:v>5/22/2026</c:v>
                </c:pt>
                <c:pt idx="32">
                  <c:v>05/29/2026</c:v>
                </c:pt>
                <c:pt idx="33">
                  <c:v>6/5/2026</c:v>
                </c:pt>
                <c:pt idx="34">
                  <c:v>6/12/2026</c:v>
                </c:pt>
                <c:pt idx="35">
                  <c:v>6/19/2026</c:v>
                </c:pt>
                <c:pt idx="36">
                  <c:v>6/26/2026</c:v>
                </c:pt>
              </c:strCache>
            </c:strRef>
          </c:cat>
          <c:val>
            <c:numRef>
              <c:f>NittyGrittySheet!$B$177:$AL$177</c:f>
              <c:numCache>
                <c:formatCode>0.00%</c:formatCode>
                <c:ptCount val="37"/>
                <c:pt idx="0">
                  <c:v>0.14610000000000001</c:v>
                </c:pt>
                <c:pt idx="1">
                  <c:v>0.14119999999999999</c:v>
                </c:pt>
                <c:pt idx="2">
                  <c:v>0.14610000000000001</c:v>
                </c:pt>
                <c:pt idx="3">
                  <c:v>0.16109999999999999</c:v>
                </c:pt>
                <c:pt idx="4">
                  <c:v>0.17680000000000001</c:v>
                </c:pt>
                <c:pt idx="5">
                  <c:v>0.18029999999999999</c:v>
                </c:pt>
                <c:pt idx="6">
                  <c:v>0.18229999999999999</c:v>
                </c:pt>
                <c:pt idx="7">
                  <c:v>0.18129999999999999</c:v>
                </c:pt>
                <c:pt idx="8">
                  <c:v>0.18779999999999999</c:v>
                </c:pt>
                <c:pt idx="9">
                  <c:v>0.26229999999999998</c:v>
                </c:pt>
                <c:pt idx="10">
                  <c:v>0.26779999999999998</c:v>
                </c:pt>
                <c:pt idx="11">
                  <c:v>0.26779999999999998</c:v>
                </c:pt>
                <c:pt idx="12">
                  <c:v>0.2732</c:v>
                </c:pt>
                <c:pt idx="13">
                  <c:v>0.28570000000000001</c:v>
                </c:pt>
                <c:pt idx="14">
                  <c:v>0.30769999999999997</c:v>
                </c:pt>
                <c:pt idx="15">
                  <c:v>0.32040000000000002</c:v>
                </c:pt>
                <c:pt idx="16">
                  <c:v>0.33150000000000002</c:v>
                </c:pt>
                <c:pt idx="17">
                  <c:v>0.35</c:v>
                </c:pt>
                <c:pt idx="18">
                  <c:v>0.36109999999999998</c:v>
                </c:pt>
                <c:pt idx="19">
                  <c:v>0.38069999999999998</c:v>
                </c:pt>
                <c:pt idx="20">
                  <c:v>0.44309999999999999</c:v>
                </c:pt>
                <c:pt idx="21">
                  <c:v>0.49030000000000001</c:v>
                </c:pt>
                <c:pt idx="22">
                  <c:v>0.50980000000000003</c:v>
                </c:pt>
                <c:pt idx="23">
                  <c:v>0.58160000000000001</c:v>
                </c:pt>
                <c:pt idx="24">
                  <c:v>0.63360000000000005</c:v>
                </c:pt>
                <c:pt idx="25">
                  <c:v>0.65380000000000005</c:v>
                </c:pt>
                <c:pt idx="26">
                  <c:v>0.66149999999999998</c:v>
                </c:pt>
                <c:pt idx="27">
                  <c:v>0.69289999999999996</c:v>
                </c:pt>
                <c:pt idx="28">
                  <c:v>0.7258</c:v>
                </c:pt>
                <c:pt idx="29">
                  <c:v>0.72</c:v>
                </c:pt>
                <c:pt idx="30">
                  <c:v>0.7339</c:v>
                </c:pt>
                <c:pt idx="31">
                  <c:v>0.77689999999999992</c:v>
                </c:pt>
                <c:pt idx="32">
                  <c:v>0.78150000000000008</c:v>
                </c:pt>
                <c:pt idx="33">
                  <c:v>0.8</c:v>
                </c:pt>
                <c:pt idx="34">
                  <c:v>0.80180000000000007</c:v>
                </c:pt>
                <c:pt idx="35">
                  <c:v>0.80909999999999993</c:v>
                </c:pt>
                <c:pt idx="36">
                  <c:v>0.82239999999999991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B2-4DEE-821D-BAE7CD4552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</a:t>
            </a:r>
            <a:r>
              <a:rPr lang="en-US" baseline="0"/>
              <a:t> </a:t>
            </a:r>
            <a:r>
              <a:rPr lang="en-US"/>
              <a:t>Search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NittyGrittySheet!$A$180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NittyGrittySheet!$B$179:$AL$179</c:f>
              <c:strCache>
                <c:ptCount val="37"/>
                <c:pt idx="0">
                  <c:v>10/13/2025</c:v>
                </c:pt>
                <c:pt idx="1">
                  <c:v>10/17/2025</c:v>
                </c:pt>
                <c:pt idx="2">
                  <c:v>10/24/2025</c:v>
                </c:pt>
                <c:pt idx="3">
                  <c:v>10/31/2025</c:v>
                </c:pt>
                <c:pt idx="4">
                  <c:v>11/7/2025</c:v>
                </c:pt>
                <c:pt idx="5">
                  <c:v>11/14/2025</c:v>
                </c:pt>
                <c:pt idx="6">
                  <c:v>11/21/2025</c:v>
                </c:pt>
                <c:pt idx="7">
                  <c:v>11/28/2025</c:v>
                </c:pt>
                <c:pt idx="8">
                  <c:v>12/5/2025</c:v>
                </c:pt>
                <c:pt idx="9">
                  <c:v>12/12/2025</c:v>
                </c:pt>
                <c:pt idx="10">
                  <c:v>12/19/2025</c:v>
                </c:pt>
                <c:pt idx="11">
                  <c:v>12/26/2025</c:v>
                </c:pt>
                <c:pt idx="12">
                  <c:v>1/2/2026</c:v>
                </c:pt>
                <c:pt idx="13">
                  <c:v>1/9/2026</c:v>
                </c:pt>
                <c:pt idx="14">
                  <c:v>1/16/2026</c:v>
                </c:pt>
                <c:pt idx="15">
                  <c:v>1/23/2026</c:v>
                </c:pt>
                <c:pt idx="16">
                  <c:v>1/30/2026</c:v>
                </c:pt>
                <c:pt idx="17">
                  <c:v>2/6/2026</c:v>
                </c:pt>
                <c:pt idx="18">
                  <c:v>2/13/2026</c:v>
                </c:pt>
                <c:pt idx="19">
                  <c:v>2/20/2026</c:v>
                </c:pt>
                <c:pt idx="20">
                  <c:v>2/27/2026</c:v>
                </c:pt>
                <c:pt idx="21">
                  <c:v>3/13/2026</c:v>
                </c:pt>
                <c:pt idx="22">
                  <c:v>3/20/2026</c:v>
                </c:pt>
                <c:pt idx="23">
                  <c:v>3/27/2026</c:v>
                </c:pt>
                <c:pt idx="24">
                  <c:v>4/3/2026</c:v>
                </c:pt>
                <c:pt idx="25">
                  <c:v>4/10/2026</c:v>
                </c:pt>
                <c:pt idx="26">
                  <c:v>4/17/2026</c:v>
                </c:pt>
                <c:pt idx="27">
                  <c:v>4/24/2026</c:v>
                </c:pt>
                <c:pt idx="28">
                  <c:v>5/1/2026</c:v>
                </c:pt>
                <c:pt idx="29">
                  <c:v>5/8/2026</c:v>
                </c:pt>
                <c:pt idx="30">
                  <c:v>5/15/2026</c:v>
                </c:pt>
                <c:pt idx="31">
                  <c:v>5/22/2026</c:v>
                </c:pt>
                <c:pt idx="32">
                  <c:v>05/29/2026</c:v>
                </c:pt>
                <c:pt idx="33">
                  <c:v>6/5/2026</c:v>
                </c:pt>
                <c:pt idx="34">
                  <c:v>6/12/2026</c:v>
                </c:pt>
                <c:pt idx="35">
                  <c:v>6/19/2026</c:v>
                </c:pt>
                <c:pt idx="36">
                  <c:v>6/26/2026</c:v>
                </c:pt>
              </c:strCache>
            </c:strRef>
          </c:cat>
          <c:val>
            <c:numRef>
              <c:f>NittyGrittySheet!$B$180:$AL$180</c:f>
              <c:numCache>
                <c:formatCode>General</c:formatCode>
                <c:ptCount val="37"/>
                <c:pt idx="0">
                  <c:v>26</c:v>
                </c:pt>
                <c:pt idx="1">
                  <c:v>25</c:v>
                </c:pt>
                <c:pt idx="2">
                  <c:v>26</c:v>
                </c:pt>
                <c:pt idx="3">
                  <c:v>29</c:v>
                </c:pt>
                <c:pt idx="4">
                  <c:v>32</c:v>
                </c:pt>
                <c:pt idx="5">
                  <c:v>33</c:v>
                </c:pt>
                <c:pt idx="6">
                  <c:v>33</c:v>
                </c:pt>
                <c:pt idx="7">
                  <c:v>33</c:v>
                </c:pt>
                <c:pt idx="8">
                  <c:v>34</c:v>
                </c:pt>
                <c:pt idx="9">
                  <c:v>48</c:v>
                </c:pt>
                <c:pt idx="10">
                  <c:v>49</c:v>
                </c:pt>
                <c:pt idx="11">
                  <c:v>49</c:v>
                </c:pt>
                <c:pt idx="12">
                  <c:v>50</c:v>
                </c:pt>
                <c:pt idx="13">
                  <c:v>52</c:v>
                </c:pt>
                <c:pt idx="14">
                  <c:v>56</c:v>
                </c:pt>
                <c:pt idx="15">
                  <c:v>58</c:v>
                </c:pt>
                <c:pt idx="16">
                  <c:v>60</c:v>
                </c:pt>
                <c:pt idx="17">
                  <c:v>63</c:v>
                </c:pt>
                <c:pt idx="18">
                  <c:v>65</c:v>
                </c:pt>
                <c:pt idx="19">
                  <c:v>67</c:v>
                </c:pt>
                <c:pt idx="20">
                  <c:v>74</c:v>
                </c:pt>
                <c:pt idx="21">
                  <c:v>76</c:v>
                </c:pt>
                <c:pt idx="22">
                  <c:v>78</c:v>
                </c:pt>
                <c:pt idx="23">
                  <c:v>82</c:v>
                </c:pt>
                <c:pt idx="24">
                  <c:v>83</c:v>
                </c:pt>
                <c:pt idx="25">
                  <c:v>85</c:v>
                </c:pt>
                <c:pt idx="26">
                  <c:v>86</c:v>
                </c:pt>
                <c:pt idx="27">
                  <c:v>88</c:v>
                </c:pt>
                <c:pt idx="28">
                  <c:v>90</c:v>
                </c:pt>
                <c:pt idx="29">
                  <c:v>90</c:v>
                </c:pt>
                <c:pt idx="30">
                  <c:v>91</c:v>
                </c:pt>
                <c:pt idx="31">
                  <c:v>94</c:v>
                </c:pt>
                <c:pt idx="32">
                  <c:v>93</c:v>
                </c:pt>
                <c:pt idx="33">
                  <c:v>96</c:v>
                </c:pt>
                <c:pt idx="34">
                  <c:v>89</c:v>
                </c:pt>
                <c:pt idx="35">
                  <c:v>89</c:v>
                </c:pt>
                <c:pt idx="36">
                  <c:v>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B1-4FC2-AF05-935B1BBA3A6C}"/>
            </c:ext>
          </c:extLst>
        </c:ser>
        <c:ser>
          <c:idx val="1"/>
          <c:order val="1"/>
          <c:tx>
            <c:strRef>
              <c:f>NittyGrittySheet!$A$181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NittyGrittySheet!$B$179:$AL$179</c:f>
              <c:strCache>
                <c:ptCount val="37"/>
                <c:pt idx="0">
                  <c:v>10/13/2025</c:v>
                </c:pt>
                <c:pt idx="1">
                  <c:v>10/17/2025</c:v>
                </c:pt>
                <c:pt idx="2">
                  <c:v>10/24/2025</c:v>
                </c:pt>
                <c:pt idx="3">
                  <c:v>10/31/2025</c:v>
                </c:pt>
                <c:pt idx="4">
                  <c:v>11/7/2025</c:v>
                </c:pt>
                <c:pt idx="5">
                  <c:v>11/14/2025</c:v>
                </c:pt>
                <c:pt idx="6">
                  <c:v>11/21/2025</c:v>
                </c:pt>
                <c:pt idx="7">
                  <c:v>11/28/2025</c:v>
                </c:pt>
                <c:pt idx="8">
                  <c:v>12/5/2025</c:v>
                </c:pt>
                <c:pt idx="9">
                  <c:v>12/12/2025</c:v>
                </c:pt>
                <c:pt idx="10">
                  <c:v>12/19/2025</c:v>
                </c:pt>
                <c:pt idx="11">
                  <c:v>12/26/2025</c:v>
                </c:pt>
                <c:pt idx="12">
                  <c:v>1/2/2026</c:v>
                </c:pt>
                <c:pt idx="13">
                  <c:v>1/9/2026</c:v>
                </c:pt>
                <c:pt idx="14">
                  <c:v>1/16/2026</c:v>
                </c:pt>
                <c:pt idx="15">
                  <c:v>1/23/2026</c:v>
                </c:pt>
                <c:pt idx="16">
                  <c:v>1/30/2026</c:v>
                </c:pt>
                <c:pt idx="17">
                  <c:v>2/6/2026</c:v>
                </c:pt>
                <c:pt idx="18">
                  <c:v>2/13/2026</c:v>
                </c:pt>
                <c:pt idx="19">
                  <c:v>2/20/2026</c:v>
                </c:pt>
                <c:pt idx="20">
                  <c:v>2/27/2026</c:v>
                </c:pt>
                <c:pt idx="21">
                  <c:v>3/13/2026</c:v>
                </c:pt>
                <c:pt idx="22">
                  <c:v>3/20/2026</c:v>
                </c:pt>
                <c:pt idx="23">
                  <c:v>3/27/2026</c:v>
                </c:pt>
                <c:pt idx="24">
                  <c:v>4/3/2026</c:v>
                </c:pt>
                <c:pt idx="25">
                  <c:v>4/10/2026</c:v>
                </c:pt>
                <c:pt idx="26">
                  <c:v>4/17/2026</c:v>
                </c:pt>
                <c:pt idx="27">
                  <c:v>4/24/2026</c:v>
                </c:pt>
                <c:pt idx="28">
                  <c:v>5/1/2026</c:v>
                </c:pt>
                <c:pt idx="29">
                  <c:v>5/8/2026</c:v>
                </c:pt>
                <c:pt idx="30">
                  <c:v>5/15/2026</c:v>
                </c:pt>
                <c:pt idx="31">
                  <c:v>5/22/2026</c:v>
                </c:pt>
                <c:pt idx="32">
                  <c:v>05/29/2026</c:v>
                </c:pt>
                <c:pt idx="33">
                  <c:v>6/5/2026</c:v>
                </c:pt>
                <c:pt idx="34">
                  <c:v>6/12/2026</c:v>
                </c:pt>
                <c:pt idx="35">
                  <c:v>6/19/2026</c:v>
                </c:pt>
                <c:pt idx="36">
                  <c:v>6/26/2026</c:v>
                </c:pt>
              </c:strCache>
            </c:strRef>
          </c:cat>
          <c:val>
            <c:numRef>
              <c:f>NittyGrittySheet!$B$181:$AL$181</c:f>
              <c:numCache>
                <c:formatCode>General</c:formatCode>
                <c:ptCount val="37"/>
                <c:pt idx="0">
                  <c:v>115</c:v>
                </c:pt>
                <c:pt idx="1">
                  <c:v>115</c:v>
                </c:pt>
                <c:pt idx="2">
                  <c:v>116</c:v>
                </c:pt>
                <c:pt idx="3">
                  <c:v>114</c:v>
                </c:pt>
                <c:pt idx="4">
                  <c:v>114</c:v>
                </c:pt>
                <c:pt idx="5">
                  <c:v>115</c:v>
                </c:pt>
                <c:pt idx="6">
                  <c:v>114</c:v>
                </c:pt>
                <c:pt idx="7">
                  <c:v>115</c:v>
                </c:pt>
                <c:pt idx="8">
                  <c:v>113</c:v>
                </c:pt>
                <c:pt idx="9">
                  <c:v>107</c:v>
                </c:pt>
                <c:pt idx="10">
                  <c:v>106</c:v>
                </c:pt>
                <c:pt idx="11">
                  <c:v>106</c:v>
                </c:pt>
                <c:pt idx="12">
                  <c:v>107</c:v>
                </c:pt>
                <c:pt idx="13">
                  <c:v>108</c:v>
                </c:pt>
                <c:pt idx="14">
                  <c:v>106</c:v>
                </c:pt>
                <c:pt idx="15">
                  <c:v>104</c:v>
                </c:pt>
                <c:pt idx="16">
                  <c:v>104</c:v>
                </c:pt>
                <c:pt idx="17">
                  <c:v>100</c:v>
                </c:pt>
                <c:pt idx="18">
                  <c:v>98</c:v>
                </c:pt>
                <c:pt idx="19">
                  <c:v>92</c:v>
                </c:pt>
                <c:pt idx="20">
                  <c:v>80</c:v>
                </c:pt>
                <c:pt idx="21">
                  <c:v>78</c:v>
                </c:pt>
                <c:pt idx="22">
                  <c:v>74</c:v>
                </c:pt>
                <c:pt idx="23">
                  <c:v>59</c:v>
                </c:pt>
                <c:pt idx="24">
                  <c:v>48</c:v>
                </c:pt>
                <c:pt idx="25">
                  <c:v>45</c:v>
                </c:pt>
                <c:pt idx="26">
                  <c:v>44</c:v>
                </c:pt>
                <c:pt idx="27">
                  <c:v>39</c:v>
                </c:pt>
                <c:pt idx="28">
                  <c:v>34</c:v>
                </c:pt>
                <c:pt idx="29">
                  <c:v>35</c:v>
                </c:pt>
                <c:pt idx="30">
                  <c:v>33</c:v>
                </c:pt>
                <c:pt idx="31">
                  <c:v>27</c:v>
                </c:pt>
                <c:pt idx="32">
                  <c:v>26</c:v>
                </c:pt>
                <c:pt idx="33">
                  <c:v>24</c:v>
                </c:pt>
                <c:pt idx="34">
                  <c:v>22</c:v>
                </c:pt>
                <c:pt idx="35">
                  <c:v>21</c:v>
                </c:pt>
                <c:pt idx="36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B1-4FC2-AF05-935B1BBA3A6C}"/>
            </c:ext>
          </c:extLst>
        </c:ser>
        <c:ser>
          <c:idx val="3"/>
          <c:order val="3"/>
          <c:tx>
            <c:strRef>
              <c:f>NittyGrittySheet!$A$183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NittyGrittySheet!$B$179:$AL$179</c:f>
              <c:strCache>
                <c:ptCount val="37"/>
                <c:pt idx="0">
                  <c:v>10/13/2025</c:v>
                </c:pt>
                <c:pt idx="1">
                  <c:v>10/17/2025</c:v>
                </c:pt>
                <c:pt idx="2">
                  <c:v>10/24/2025</c:v>
                </c:pt>
                <c:pt idx="3">
                  <c:v>10/31/2025</c:v>
                </c:pt>
                <c:pt idx="4">
                  <c:v>11/7/2025</c:v>
                </c:pt>
                <c:pt idx="5">
                  <c:v>11/14/2025</c:v>
                </c:pt>
                <c:pt idx="6">
                  <c:v>11/21/2025</c:v>
                </c:pt>
                <c:pt idx="7">
                  <c:v>11/28/2025</c:v>
                </c:pt>
                <c:pt idx="8">
                  <c:v>12/5/2025</c:v>
                </c:pt>
                <c:pt idx="9">
                  <c:v>12/12/2025</c:v>
                </c:pt>
                <c:pt idx="10">
                  <c:v>12/19/2025</c:v>
                </c:pt>
                <c:pt idx="11">
                  <c:v>12/26/2025</c:v>
                </c:pt>
                <c:pt idx="12">
                  <c:v>1/2/2026</c:v>
                </c:pt>
                <c:pt idx="13">
                  <c:v>1/9/2026</c:v>
                </c:pt>
                <c:pt idx="14">
                  <c:v>1/16/2026</c:v>
                </c:pt>
                <c:pt idx="15">
                  <c:v>1/23/2026</c:v>
                </c:pt>
                <c:pt idx="16">
                  <c:v>1/30/2026</c:v>
                </c:pt>
                <c:pt idx="17">
                  <c:v>2/6/2026</c:v>
                </c:pt>
                <c:pt idx="18">
                  <c:v>2/13/2026</c:v>
                </c:pt>
                <c:pt idx="19">
                  <c:v>2/20/2026</c:v>
                </c:pt>
                <c:pt idx="20">
                  <c:v>2/27/2026</c:v>
                </c:pt>
                <c:pt idx="21">
                  <c:v>3/13/2026</c:v>
                </c:pt>
                <c:pt idx="22">
                  <c:v>3/20/2026</c:v>
                </c:pt>
                <c:pt idx="23">
                  <c:v>3/27/2026</c:v>
                </c:pt>
                <c:pt idx="24">
                  <c:v>4/3/2026</c:v>
                </c:pt>
                <c:pt idx="25">
                  <c:v>4/10/2026</c:v>
                </c:pt>
                <c:pt idx="26">
                  <c:v>4/17/2026</c:v>
                </c:pt>
                <c:pt idx="27">
                  <c:v>4/24/2026</c:v>
                </c:pt>
                <c:pt idx="28">
                  <c:v>5/1/2026</c:v>
                </c:pt>
                <c:pt idx="29">
                  <c:v>5/8/2026</c:v>
                </c:pt>
                <c:pt idx="30">
                  <c:v>5/15/2026</c:v>
                </c:pt>
                <c:pt idx="31">
                  <c:v>5/22/2026</c:v>
                </c:pt>
                <c:pt idx="32">
                  <c:v>05/29/2026</c:v>
                </c:pt>
                <c:pt idx="33">
                  <c:v>6/5/2026</c:v>
                </c:pt>
                <c:pt idx="34">
                  <c:v>6/12/2026</c:v>
                </c:pt>
                <c:pt idx="35">
                  <c:v>6/19/2026</c:v>
                </c:pt>
                <c:pt idx="36">
                  <c:v>6/26/2026</c:v>
                </c:pt>
              </c:strCache>
            </c:strRef>
          </c:cat>
          <c:val>
            <c:numRef>
              <c:f>NittyGrittySheet!$B$183:$AL$183</c:f>
              <c:numCache>
                <c:formatCode>General</c:formatCode>
                <c:ptCount val="37"/>
                <c:pt idx="0">
                  <c:v>37</c:v>
                </c:pt>
                <c:pt idx="1">
                  <c:v>37</c:v>
                </c:pt>
                <c:pt idx="2">
                  <c:v>36</c:v>
                </c:pt>
                <c:pt idx="3">
                  <c:v>37</c:v>
                </c:pt>
                <c:pt idx="4">
                  <c:v>35</c:v>
                </c:pt>
                <c:pt idx="5">
                  <c:v>35</c:v>
                </c:pt>
                <c:pt idx="6">
                  <c:v>34</c:v>
                </c:pt>
                <c:pt idx="7">
                  <c:v>34</c:v>
                </c:pt>
                <c:pt idx="8">
                  <c:v>34</c:v>
                </c:pt>
                <c:pt idx="9">
                  <c:v>28</c:v>
                </c:pt>
                <c:pt idx="10">
                  <c:v>28</c:v>
                </c:pt>
                <c:pt idx="11">
                  <c:v>28</c:v>
                </c:pt>
                <c:pt idx="12">
                  <c:v>26</c:v>
                </c:pt>
                <c:pt idx="13">
                  <c:v>22</c:v>
                </c:pt>
                <c:pt idx="14">
                  <c:v>20</c:v>
                </c:pt>
                <c:pt idx="15">
                  <c:v>19</c:v>
                </c:pt>
                <c:pt idx="16">
                  <c:v>17</c:v>
                </c:pt>
                <c:pt idx="17">
                  <c:v>17</c:v>
                </c:pt>
                <c:pt idx="18">
                  <c:v>17</c:v>
                </c:pt>
                <c:pt idx="19">
                  <c:v>17</c:v>
                </c:pt>
                <c:pt idx="20">
                  <c:v>13</c:v>
                </c:pt>
                <c:pt idx="21">
                  <c:v>1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CB1-4FC2-AF05-935B1BBA3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NittyGrittySheet!$A$182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NittyGrittySheet!$B$179:$AL$179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NittyGrittySheet!$B$182:$AL$182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2</c:v>
                      </c:pt>
                      <c:pt idx="22">
                        <c:v>3</c:v>
                      </c:pt>
                      <c:pt idx="23">
                        <c:v>3</c:v>
                      </c:pt>
                      <c:pt idx="24">
                        <c:v>3</c:v>
                      </c:pt>
                      <c:pt idx="25">
                        <c:v>3</c:v>
                      </c:pt>
                      <c:pt idx="26">
                        <c:v>3</c:v>
                      </c:pt>
                      <c:pt idx="27">
                        <c:v>3</c:v>
                      </c:pt>
                      <c:pt idx="28">
                        <c:v>4</c:v>
                      </c:pt>
                      <c:pt idx="29">
                        <c:v>3</c:v>
                      </c:pt>
                      <c:pt idx="30">
                        <c:v>3</c:v>
                      </c:pt>
                      <c:pt idx="31">
                        <c:v>4</c:v>
                      </c:pt>
                      <c:pt idx="32">
                        <c:v>4</c:v>
                      </c:pt>
                      <c:pt idx="33">
                        <c:v>4</c:v>
                      </c:pt>
                      <c:pt idx="34">
                        <c:v>3</c:v>
                      </c:pt>
                      <c:pt idx="35">
                        <c:v>3</c:v>
                      </c:pt>
                      <c:pt idx="36">
                        <c:v>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8CB1-4FC2-AF05-935B1BBA3A6C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NittyGrittySheet!$A$184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NittyGrittySheet!$B$179:$AL$179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NittyGrittySheet!$B$184:$AL$184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3</c:v>
                      </c:pt>
                      <c:pt idx="1">
                        <c:v>3</c:v>
                      </c:pt>
                      <c:pt idx="2">
                        <c:v>3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2</c:v>
                      </c:pt>
                      <c:pt idx="6">
                        <c:v>2</c:v>
                      </c:pt>
                      <c:pt idx="7">
                        <c:v>2</c:v>
                      </c:pt>
                      <c:pt idx="8">
                        <c:v>2</c:v>
                      </c:pt>
                      <c:pt idx="9">
                        <c:v>2</c:v>
                      </c:pt>
                      <c:pt idx="10">
                        <c:v>2</c:v>
                      </c:pt>
                      <c:pt idx="11">
                        <c:v>2</c:v>
                      </c:pt>
                      <c:pt idx="12">
                        <c:v>2</c:v>
                      </c:pt>
                      <c:pt idx="13">
                        <c:v>2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2</c:v>
                      </c:pt>
                      <c:pt idx="20">
                        <c:v>3</c:v>
                      </c:pt>
                      <c:pt idx="21">
                        <c:v>3</c:v>
                      </c:pt>
                      <c:pt idx="22">
                        <c:v>3</c:v>
                      </c:pt>
                      <c:pt idx="23">
                        <c:v>9</c:v>
                      </c:pt>
                      <c:pt idx="24">
                        <c:v>10</c:v>
                      </c:pt>
                      <c:pt idx="25">
                        <c:v>10</c:v>
                      </c:pt>
                      <c:pt idx="26">
                        <c:v>10</c:v>
                      </c:pt>
                      <c:pt idx="27">
                        <c:v>11</c:v>
                      </c:pt>
                      <c:pt idx="28">
                        <c:v>11</c:v>
                      </c:pt>
                      <c:pt idx="29">
                        <c:v>11</c:v>
                      </c:pt>
                      <c:pt idx="30">
                        <c:v>11</c:v>
                      </c:pt>
                      <c:pt idx="31">
                        <c:v>11</c:v>
                      </c:pt>
                      <c:pt idx="32">
                        <c:v>11</c:v>
                      </c:pt>
                      <c:pt idx="33">
                        <c:v>11</c:v>
                      </c:pt>
                      <c:pt idx="34">
                        <c:v>5</c:v>
                      </c:pt>
                      <c:pt idx="35">
                        <c:v>5</c:v>
                      </c:pt>
                      <c:pt idx="36">
                        <c:v>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8CB1-4FC2-AF05-935B1BBA3A6C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NittyGrittySheet!$A$185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NittyGrittySheet!$B$179:$AL$179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NittyGrittySheet!$B$185:$AL$185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8CB1-4FC2-AF05-935B1BBA3A6C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NittyGrittySheet!$A$186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NittyGrittySheet!$B$179:$AL$179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NittyGrittySheet!$B$186:$AL$186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7</c:v>
                      </c:pt>
                      <c:pt idx="1">
                        <c:v>7</c:v>
                      </c:pt>
                      <c:pt idx="2">
                        <c:v>7</c:v>
                      </c:pt>
                      <c:pt idx="3">
                        <c:v>7</c:v>
                      </c:pt>
                      <c:pt idx="4">
                        <c:v>5</c:v>
                      </c:pt>
                      <c:pt idx="5">
                        <c:v>5</c:v>
                      </c:pt>
                      <c:pt idx="6">
                        <c:v>5</c:v>
                      </c:pt>
                      <c:pt idx="7">
                        <c:v>3</c:v>
                      </c:pt>
                      <c:pt idx="8">
                        <c:v>3</c:v>
                      </c:pt>
                      <c:pt idx="9">
                        <c:v>2</c:v>
                      </c:pt>
                      <c:pt idx="10">
                        <c:v>2</c:v>
                      </c:pt>
                      <c:pt idx="11">
                        <c:v>2</c:v>
                      </c:pt>
                      <c:pt idx="12">
                        <c:v>2</c:v>
                      </c:pt>
                      <c:pt idx="13">
                        <c:v>2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2</c:v>
                      </c:pt>
                      <c:pt idx="18">
                        <c:v>2</c:v>
                      </c:pt>
                      <c:pt idx="19">
                        <c:v>3</c:v>
                      </c:pt>
                      <c:pt idx="20">
                        <c:v>4</c:v>
                      </c:pt>
                      <c:pt idx="21">
                        <c:v>4</c:v>
                      </c:pt>
                      <c:pt idx="22">
                        <c:v>5</c:v>
                      </c:pt>
                      <c:pt idx="23">
                        <c:v>10</c:v>
                      </c:pt>
                      <c:pt idx="24">
                        <c:v>19</c:v>
                      </c:pt>
                      <c:pt idx="25">
                        <c:v>18</c:v>
                      </c:pt>
                      <c:pt idx="26">
                        <c:v>18</c:v>
                      </c:pt>
                      <c:pt idx="27">
                        <c:v>17</c:v>
                      </c:pt>
                      <c:pt idx="28">
                        <c:v>19</c:v>
                      </c:pt>
                      <c:pt idx="29">
                        <c:v>19</c:v>
                      </c:pt>
                      <c:pt idx="30">
                        <c:v>18</c:v>
                      </c:pt>
                      <c:pt idx="31">
                        <c:v>20</c:v>
                      </c:pt>
                      <c:pt idx="32">
                        <c:v>20</c:v>
                      </c:pt>
                      <c:pt idx="33">
                        <c:v>20</c:v>
                      </c:pt>
                      <c:pt idx="34">
                        <c:v>15</c:v>
                      </c:pt>
                      <c:pt idx="35">
                        <c:v>14</c:v>
                      </c:pt>
                      <c:pt idx="36">
                        <c:v>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8CB1-4FC2-AF05-935B1BBA3A6C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NittyGrittySheet!$A$187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NittyGrittySheet!$B$179:$AL$179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NittyGrittySheet!$B$187:$AL$187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0</c:v>
                      </c:pt>
                      <c:pt idx="6">
                        <c:v>1</c:v>
                      </c:pt>
                      <c:pt idx="7">
                        <c:v>2</c:v>
                      </c:pt>
                      <c:pt idx="8">
                        <c:v>2</c:v>
                      </c:pt>
                      <c:pt idx="9">
                        <c:v>2</c:v>
                      </c:pt>
                      <c:pt idx="10">
                        <c:v>2</c:v>
                      </c:pt>
                      <c:pt idx="11">
                        <c:v>2</c:v>
                      </c:pt>
                      <c:pt idx="12">
                        <c:v>2</c:v>
                      </c:pt>
                      <c:pt idx="13">
                        <c:v>2</c:v>
                      </c:pt>
                      <c:pt idx="14">
                        <c:v>2</c:v>
                      </c:pt>
                      <c:pt idx="15">
                        <c:v>2</c:v>
                      </c:pt>
                      <c:pt idx="16">
                        <c:v>2</c:v>
                      </c:pt>
                      <c:pt idx="17">
                        <c:v>2</c:v>
                      </c:pt>
                      <c:pt idx="18">
                        <c:v>2</c:v>
                      </c:pt>
                      <c:pt idx="19">
                        <c:v>2</c:v>
                      </c:pt>
                      <c:pt idx="20">
                        <c:v>4</c:v>
                      </c:pt>
                      <c:pt idx="21">
                        <c:v>5</c:v>
                      </c:pt>
                      <c:pt idx="22">
                        <c:v>5</c:v>
                      </c:pt>
                      <c:pt idx="23">
                        <c:v>6</c:v>
                      </c:pt>
                      <c:pt idx="24">
                        <c:v>7</c:v>
                      </c:pt>
                      <c:pt idx="25">
                        <c:v>8</c:v>
                      </c:pt>
                      <c:pt idx="26">
                        <c:v>8</c:v>
                      </c:pt>
                      <c:pt idx="27">
                        <c:v>8</c:v>
                      </c:pt>
                      <c:pt idx="28">
                        <c:v>8</c:v>
                      </c:pt>
                      <c:pt idx="29">
                        <c:v>8</c:v>
                      </c:pt>
                      <c:pt idx="30">
                        <c:v>8</c:v>
                      </c:pt>
                      <c:pt idx="31">
                        <c:v>8</c:v>
                      </c:pt>
                      <c:pt idx="32">
                        <c:v>9</c:v>
                      </c:pt>
                      <c:pt idx="33">
                        <c:v>9</c:v>
                      </c:pt>
                      <c:pt idx="34">
                        <c:v>9</c:v>
                      </c:pt>
                      <c:pt idx="35">
                        <c:v>9</c:v>
                      </c:pt>
                      <c:pt idx="36">
                        <c:v>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8CB1-4FC2-AF05-935B1BBA3A6C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NittyGrittySheet!$A$188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NittyGrittySheet!$B$179:$AL$179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NittyGrittySheet!$B$188:$AL$188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8CB1-4FC2-AF05-935B1BBA3A6C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NittyGrittySheet!$A$189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NittyGrittySheet!$B$179:$AL$179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NittyGrittySheet!$B$189:$AL$189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4</c:v>
                      </c:pt>
                      <c:pt idx="1">
                        <c:v>4</c:v>
                      </c:pt>
                      <c:pt idx="2">
                        <c:v>4</c:v>
                      </c:pt>
                      <c:pt idx="3">
                        <c:v>4</c:v>
                      </c:pt>
                      <c:pt idx="4">
                        <c:v>4</c:v>
                      </c:pt>
                      <c:pt idx="5">
                        <c:v>4</c:v>
                      </c:pt>
                      <c:pt idx="6">
                        <c:v>4</c:v>
                      </c:pt>
                      <c:pt idx="7">
                        <c:v>4</c:v>
                      </c:pt>
                      <c:pt idx="8">
                        <c:v>4</c:v>
                      </c:pt>
                      <c:pt idx="9">
                        <c:v>4</c:v>
                      </c:pt>
                      <c:pt idx="10">
                        <c:v>4</c:v>
                      </c:pt>
                      <c:pt idx="11">
                        <c:v>4</c:v>
                      </c:pt>
                      <c:pt idx="12">
                        <c:v>4</c:v>
                      </c:pt>
                      <c:pt idx="13">
                        <c:v>5</c:v>
                      </c:pt>
                      <c:pt idx="14">
                        <c:v>5</c:v>
                      </c:pt>
                      <c:pt idx="15">
                        <c:v>5</c:v>
                      </c:pt>
                      <c:pt idx="16">
                        <c:v>5</c:v>
                      </c:pt>
                      <c:pt idx="17">
                        <c:v>5</c:v>
                      </c:pt>
                      <c:pt idx="18">
                        <c:v>5</c:v>
                      </c:pt>
                      <c:pt idx="19">
                        <c:v>6</c:v>
                      </c:pt>
                      <c:pt idx="20">
                        <c:v>10</c:v>
                      </c:pt>
                      <c:pt idx="21">
                        <c:v>10</c:v>
                      </c:pt>
                      <c:pt idx="22">
                        <c:v>10</c:v>
                      </c:pt>
                      <c:pt idx="23">
                        <c:v>10</c:v>
                      </c:pt>
                      <c:pt idx="24">
                        <c:v>9</c:v>
                      </c:pt>
                      <c:pt idx="25">
                        <c:v>9</c:v>
                      </c:pt>
                      <c:pt idx="26">
                        <c:v>10</c:v>
                      </c:pt>
                      <c:pt idx="27">
                        <c:v>11</c:v>
                      </c:pt>
                      <c:pt idx="28">
                        <c:v>11</c:v>
                      </c:pt>
                      <c:pt idx="29">
                        <c:v>11</c:v>
                      </c:pt>
                      <c:pt idx="30">
                        <c:v>11</c:v>
                      </c:pt>
                      <c:pt idx="31">
                        <c:v>11</c:v>
                      </c:pt>
                      <c:pt idx="32">
                        <c:v>11</c:v>
                      </c:pt>
                      <c:pt idx="33">
                        <c:v>11</c:v>
                      </c:pt>
                      <c:pt idx="34">
                        <c:v>10</c:v>
                      </c:pt>
                      <c:pt idx="35">
                        <c:v>10</c:v>
                      </c:pt>
                      <c:pt idx="36">
                        <c:v>10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8CB1-4FC2-AF05-935B1BBA3A6C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NittyGrittySheet!$A$190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NittyGrittySheet!$B$179:$AL$179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NittyGrittySheet!$B$190:$AL$190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194</c:v>
                      </c:pt>
                      <c:pt idx="1">
                        <c:v>193</c:v>
                      </c:pt>
                      <c:pt idx="2">
                        <c:v>194</c:v>
                      </c:pt>
                      <c:pt idx="3">
                        <c:v>195</c:v>
                      </c:pt>
                      <c:pt idx="4">
                        <c:v>194</c:v>
                      </c:pt>
                      <c:pt idx="5">
                        <c:v>195</c:v>
                      </c:pt>
                      <c:pt idx="6">
                        <c:v>194</c:v>
                      </c:pt>
                      <c:pt idx="7">
                        <c:v>194</c:v>
                      </c:pt>
                      <c:pt idx="8">
                        <c:v>194</c:v>
                      </c:pt>
                      <c:pt idx="9">
                        <c:v>195</c:v>
                      </c:pt>
                      <c:pt idx="10">
                        <c:v>195</c:v>
                      </c:pt>
                      <c:pt idx="11">
                        <c:v>195</c:v>
                      </c:pt>
                      <c:pt idx="12">
                        <c:v>195</c:v>
                      </c:pt>
                      <c:pt idx="13">
                        <c:v>195</c:v>
                      </c:pt>
                      <c:pt idx="14">
                        <c:v>193</c:v>
                      </c:pt>
                      <c:pt idx="15">
                        <c:v>192</c:v>
                      </c:pt>
                      <c:pt idx="16">
                        <c:v>192</c:v>
                      </c:pt>
                      <c:pt idx="17">
                        <c:v>192</c:v>
                      </c:pt>
                      <c:pt idx="18">
                        <c:v>192</c:v>
                      </c:pt>
                      <c:pt idx="19">
                        <c:v>191</c:v>
                      </c:pt>
                      <c:pt idx="20">
                        <c:v>190</c:v>
                      </c:pt>
                      <c:pt idx="21">
                        <c:v>180</c:v>
                      </c:pt>
                      <c:pt idx="22">
                        <c:v>180</c:v>
                      </c:pt>
                      <c:pt idx="23">
                        <c:v>180</c:v>
                      </c:pt>
                      <c:pt idx="24">
                        <c:v>180</c:v>
                      </c:pt>
                      <c:pt idx="25">
                        <c:v>179</c:v>
                      </c:pt>
                      <c:pt idx="26">
                        <c:v>180</c:v>
                      </c:pt>
                      <c:pt idx="27">
                        <c:v>178</c:v>
                      </c:pt>
                      <c:pt idx="28">
                        <c:v>178</c:v>
                      </c:pt>
                      <c:pt idx="29">
                        <c:v>178</c:v>
                      </c:pt>
                      <c:pt idx="30">
                        <c:v>176</c:v>
                      </c:pt>
                      <c:pt idx="31">
                        <c:v>176</c:v>
                      </c:pt>
                      <c:pt idx="32">
                        <c:v>175</c:v>
                      </c:pt>
                      <c:pt idx="33">
                        <c:v>176</c:v>
                      </c:pt>
                      <c:pt idx="34">
                        <c:v>155</c:v>
                      </c:pt>
                      <c:pt idx="35">
                        <c:v>153</c:v>
                      </c:pt>
                      <c:pt idx="36">
                        <c:v>148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8CB1-4FC2-AF05-935B1BBA3A6C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% Placed 5 Year Summary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BSStrat!$O$24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BSStrat!$M$25:$M$38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BSStrat!$O$25:$O$38</c:f>
              <c:numCache>
                <c:formatCode>0.00%</c:formatCode>
                <c:ptCount val="14"/>
                <c:pt idx="0">
                  <c:v>0.10476190476190476</c:v>
                </c:pt>
                <c:pt idx="1">
                  <c:v>0.13333333333333333</c:v>
                </c:pt>
                <c:pt idx="2">
                  <c:v>0.14285714285714285</c:v>
                </c:pt>
                <c:pt idx="3">
                  <c:v>0.19047619047619047</c:v>
                </c:pt>
                <c:pt idx="4">
                  <c:v>0.23809523809523808</c:v>
                </c:pt>
                <c:pt idx="5">
                  <c:v>0.3619047619047619</c:v>
                </c:pt>
                <c:pt idx="6">
                  <c:v>0.47619047619047616</c:v>
                </c:pt>
                <c:pt idx="7">
                  <c:v>0.52380952380952384</c:v>
                </c:pt>
                <c:pt idx="8">
                  <c:v>0.59047619047619049</c:v>
                </c:pt>
                <c:pt idx="9">
                  <c:v>0.65714285714285714</c:v>
                </c:pt>
                <c:pt idx="10">
                  <c:v>0.72380952380952379</c:v>
                </c:pt>
                <c:pt idx="11">
                  <c:v>0.89523809523809528</c:v>
                </c:pt>
                <c:pt idx="12">
                  <c:v>0.92380952380952386</c:v>
                </c:pt>
                <c:pt idx="13">
                  <c:v>0.95238095238095233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8E-440D-9003-B8F4B1E8981D}"/>
            </c:ext>
          </c:extLst>
        </c:ser>
        <c:ser>
          <c:idx val="2"/>
          <c:order val="1"/>
          <c:tx>
            <c:strRef>
              <c:f>BSStrat!$P$24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BSStrat!$M$25:$M$38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BSStrat!$P$25:$P$38</c:f>
              <c:numCache>
                <c:formatCode>0.00%</c:formatCode>
                <c:ptCount val="14"/>
                <c:pt idx="0">
                  <c:v>0.16842105263157894</c:v>
                </c:pt>
                <c:pt idx="1">
                  <c:v>0.17894736842105263</c:v>
                </c:pt>
                <c:pt idx="2">
                  <c:v>0.26315789473684209</c:v>
                </c:pt>
                <c:pt idx="3">
                  <c:v>0.27368421052631581</c:v>
                </c:pt>
                <c:pt idx="4">
                  <c:v>0.29473684210526313</c:v>
                </c:pt>
                <c:pt idx="5">
                  <c:v>0.41052631578947368</c:v>
                </c:pt>
                <c:pt idx="6">
                  <c:v>0.49473684210526314</c:v>
                </c:pt>
                <c:pt idx="7">
                  <c:v>0.49473684210526314</c:v>
                </c:pt>
                <c:pt idx="8">
                  <c:v>0.57894736842105265</c:v>
                </c:pt>
                <c:pt idx="9">
                  <c:v>0.74736842105263157</c:v>
                </c:pt>
                <c:pt idx="10">
                  <c:v>0.86315789473684212</c:v>
                </c:pt>
                <c:pt idx="11">
                  <c:v>0.9263157894736842</c:v>
                </c:pt>
                <c:pt idx="12">
                  <c:v>0.93684210526315792</c:v>
                </c:pt>
                <c:pt idx="13">
                  <c:v>0.93684210526315792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B48E-440D-9003-B8F4B1E8981D}"/>
            </c:ext>
          </c:extLst>
        </c:ser>
        <c:ser>
          <c:idx val="3"/>
          <c:order val="2"/>
          <c:tx>
            <c:strRef>
              <c:f>BSStrat!$Q$24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BSStrat!$M$25:$M$38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BSStrat!$Q$25:$Q$38</c:f>
              <c:numCache>
                <c:formatCode>0.00%</c:formatCode>
                <c:ptCount val="14"/>
                <c:pt idx="0">
                  <c:v>7.407407407407407E-2</c:v>
                </c:pt>
                <c:pt idx="1">
                  <c:v>9.8765432098765427E-2</c:v>
                </c:pt>
                <c:pt idx="2">
                  <c:v>0.1111111111111111</c:v>
                </c:pt>
                <c:pt idx="3">
                  <c:v>0.12345679012345678</c:v>
                </c:pt>
                <c:pt idx="4">
                  <c:v>0.19753086419753085</c:v>
                </c:pt>
                <c:pt idx="5">
                  <c:v>0.19753086419753085</c:v>
                </c:pt>
                <c:pt idx="6">
                  <c:v>0.27160493827160492</c:v>
                </c:pt>
                <c:pt idx="7">
                  <c:v>0.33333333333333331</c:v>
                </c:pt>
                <c:pt idx="8">
                  <c:v>0.5679012345679012</c:v>
                </c:pt>
                <c:pt idx="9">
                  <c:v>0.7407407407407407</c:v>
                </c:pt>
                <c:pt idx="10">
                  <c:v>0.81481481481481477</c:v>
                </c:pt>
                <c:pt idx="11">
                  <c:v>0.85185185185185186</c:v>
                </c:pt>
                <c:pt idx="12">
                  <c:v>0.85185185185185186</c:v>
                </c:pt>
                <c:pt idx="13">
                  <c:v>0.85185185185185186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B48E-440D-9003-B8F4B1E8981D}"/>
            </c:ext>
          </c:extLst>
        </c:ser>
        <c:ser>
          <c:idx val="4"/>
          <c:order val="3"/>
          <c:tx>
            <c:strRef>
              <c:f>BSStrat!$R$24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BSStrat!$M$25:$M$38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BSStrat!$R$25:$R$38</c:f>
              <c:numCache>
                <c:formatCode>0.00%</c:formatCode>
                <c:ptCount val="14"/>
                <c:pt idx="0">
                  <c:v>6.8965517241379309E-2</c:v>
                </c:pt>
                <c:pt idx="1">
                  <c:v>0.12643678160919541</c:v>
                </c:pt>
                <c:pt idx="2">
                  <c:v>0.17241379310344829</c:v>
                </c:pt>
                <c:pt idx="3">
                  <c:v>0.19540229885057472</c:v>
                </c:pt>
                <c:pt idx="4">
                  <c:v>0.22988505747126436</c:v>
                </c:pt>
                <c:pt idx="5">
                  <c:v>0.27586206896551724</c:v>
                </c:pt>
                <c:pt idx="6">
                  <c:v>0.42528735632183906</c:v>
                </c:pt>
                <c:pt idx="7">
                  <c:v>0.57471264367816088</c:v>
                </c:pt>
                <c:pt idx="8">
                  <c:v>0.74712643678160917</c:v>
                </c:pt>
                <c:pt idx="9">
                  <c:v>0.87356321839080464</c:v>
                </c:pt>
                <c:pt idx="10">
                  <c:v>0.89655172413793105</c:v>
                </c:pt>
                <c:pt idx="11">
                  <c:v>0.93103448275862066</c:v>
                </c:pt>
                <c:pt idx="12">
                  <c:v>0.93103448275862066</c:v>
                </c:pt>
                <c:pt idx="13">
                  <c:v>0.93103448275862066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B48E-440D-9003-B8F4B1E8981D}"/>
            </c:ext>
          </c:extLst>
        </c:ser>
        <c:ser>
          <c:idx val="5"/>
          <c:order val="4"/>
          <c:tx>
            <c:strRef>
              <c:f>BSStrat!$S$24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BSStrat!$M$25:$M$38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BSStrat!$S$25:$S$38</c:f>
              <c:numCache>
                <c:formatCode>0.00%</c:formatCode>
                <c:ptCount val="14"/>
                <c:pt idx="0">
                  <c:v>5.2083333333333336E-2</c:v>
                </c:pt>
                <c:pt idx="1">
                  <c:v>8.3333333333333329E-2</c:v>
                </c:pt>
                <c:pt idx="2">
                  <c:v>0.125</c:v>
                </c:pt>
                <c:pt idx="3">
                  <c:v>0.20833333333333334</c:v>
                </c:pt>
                <c:pt idx="4">
                  <c:v>0.22916666666666666</c:v>
                </c:pt>
                <c:pt idx="5">
                  <c:v>0.29166666666666669</c:v>
                </c:pt>
                <c:pt idx="6">
                  <c:v>0.36458333333333331</c:v>
                </c:pt>
                <c:pt idx="7">
                  <c:v>0.5625</c:v>
                </c:pt>
                <c:pt idx="8">
                  <c:v>0.79166666666666663</c:v>
                </c:pt>
                <c:pt idx="9">
                  <c:v>0.85416666666666663</c:v>
                </c:pt>
                <c:pt idx="10">
                  <c:v>0.92708333333333337</c:v>
                </c:pt>
                <c:pt idx="11">
                  <c:v>0.95833333333333337</c:v>
                </c:pt>
                <c:pt idx="12">
                  <c:v>0.95833333333333337</c:v>
                </c:pt>
                <c:pt idx="13">
                  <c:v>0.95833333333333337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B48E-440D-9003-B8F4B1E8981D}"/>
            </c:ext>
          </c:extLst>
        </c:ser>
        <c:ser>
          <c:idx val="0"/>
          <c:order val="5"/>
          <c:tx>
            <c:strRef>
              <c:f>BSStrat!$N$24</c:f>
              <c:strCache>
                <c:ptCount val="1"/>
                <c:pt idx="0">
                  <c:v>2026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BSStrat!$M$25:$M$38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BSStrat!$N$25:$N$38</c:f>
              <c:numCache>
                <c:formatCode>0.00%</c:formatCode>
                <c:ptCount val="14"/>
                <c:pt idx="2">
                  <c:v>0.16109999999999999</c:v>
                </c:pt>
                <c:pt idx="3">
                  <c:v>0.18129999999999999</c:v>
                </c:pt>
                <c:pt idx="4">
                  <c:v>0.26779999999999998</c:v>
                </c:pt>
                <c:pt idx="5">
                  <c:v>0.38840000000000002</c:v>
                </c:pt>
                <c:pt idx="6">
                  <c:v>0.4138</c:v>
                </c:pt>
                <c:pt idx="7">
                  <c:v>0.43859999999999999</c:v>
                </c:pt>
                <c:pt idx="8">
                  <c:v>0.5534</c:v>
                </c:pt>
                <c:pt idx="9">
                  <c:v>0.65980000000000005</c:v>
                </c:pt>
                <c:pt idx="10">
                  <c:v>0.79760000000000009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48E-440D-9003-B8F4B1E898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</a:t>
            </a:r>
            <a:r>
              <a:rPr lang="en-US" baseline="0"/>
              <a:t> Placement </a:t>
            </a:r>
            <a:r>
              <a:rPr lang="en-US"/>
              <a:t>%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NittyGrittySheet!$A$194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NittyGrittySheet!$B$193:$AL$193</c:f>
              <c:strCache>
                <c:ptCount val="37"/>
                <c:pt idx="0">
                  <c:v>10/13/2025</c:v>
                </c:pt>
                <c:pt idx="1">
                  <c:v>10/17/2025</c:v>
                </c:pt>
                <c:pt idx="2">
                  <c:v>10/24/2025</c:v>
                </c:pt>
                <c:pt idx="3">
                  <c:v>10/31/2025</c:v>
                </c:pt>
                <c:pt idx="4">
                  <c:v>11/7/2025</c:v>
                </c:pt>
                <c:pt idx="5">
                  <c:v>11/14/2025</c:v>
                </c:pt>
                <c:pt idx="6">
                  <c:v>11/21/2025</c:v>
                </c:pt>
                <c:pt idx="7">
                  <c:v>11/28/2025</c:v>
                </c:pt>
                <c:pt idx="8">
                  <c:v>12/5/2025</c:v>
                </c:pt>
                <c:pt idx="9">
                  <c:v>12/12/2025</c:v>
                </c:pt>
                <c:pt idx="10">
                  <c:v>12/19/2025</c:v>
                </c:pt>
                <c:pt idx="11">
                  <c:v>12/26/2025</c:v>
                </c:pt>
                <c:pt idx="12">
                  <c:v>1/2/2026</c:v>
                </c:pt>
                <c:pt idx="13">
                  <c:v>1/9/2026</c:v>
                </c:pt>
                <c:pt idx="14">
                  <c:v>1/16/2026</c:v>
                </c:pt>
                <c:pt idx="15">
                  <c:v>1/23/2026</c:v>
                </c:pt>
                <c:pt idx="16">
                  <c:v>1/30/2026</c:v>
                </c:pt>
                <c:pt idx="17">
                  <c:v>2/6/2026</c:v>
                </c:pt>
                <c:pt idx="18">
                  <c:v>2/13/2026</c:v>
                </c:pt>
                <c:pt idx="19">
                  <c:v>2/20/2026</c:v>
                </c:pt>
                <c:pt idx="20">
                  <c:v>2/27/2026</c:v>
                </c:pt>
                <c:pt idx="21">
                  <c:v>3/13/2026</c:v>
                </c:pt>
                <c:pt idx="22">
                  <c:v>3/20/2026</c:v>
                </c:pt>
                <c:pt idx="23">
                  <c:v>3/27/2026</c:v>
                </c:pt>
                <c:pt idx="24">
                  <c:v>4/3/2026</c:v>
                </c:pt>
                <c:pt idx="25">
                  <c:v>4/10/2026</c:v>
                </c:pt>
                <c:pt idx="26">
                  <c:v>4/17/2026</c:v>
                </c:pt>
                <c:pt idx="27">
                  <c:v>4/24/2026</c:v>
                </c:pt>
                <c:pt idx="28">
                  <c:v>5/1/2026</c:v>
                </c:pt>
                <c:pt idx="29">
                  <c:v>5/8/2026</c:v>
                </c:pt>
                <c:pt idx="30">
                  <c:v>5/15/2026</c:v>
                </c:pt>
                <c:pt idx="31">
                  <c:v>5/22/2026</c:v>
                </c:pt>
                <c:pt idx="32">
                  <c:v>05/29/2026</c:v>
                </c:pt>
                <c:pt idx="33">
                  <c:v>6/5/2026</c:v>
                </c:pt>
                <c:pt idx="34">
                  <c:v>6/12/2026</c:v>
                </c:pt>
                <c:pt idx="35">
                  <c:v>6/19/2026</c:v>
                </c:pt>
                <c:pt idx="36">
                  <c:v>6/26/2026</c:v>
                </c:pt>
              </c:strCache>
            </c:strRef>
          </c:cat>
          <c:val>
            <c:numRef>
              <c:f>NittyGrittySheet!$B$194:$AL$194</c:f>
              <c:numCache>
                <c:formatCode>0.00%</c:formatCode>
                <c:ptCount val="37"/>
                <c:pt idx="0">
                  <c:v>0.2797</c:v>
                </c:pt>
                <c:pt idx="1">
                  <c:v>0.2797</c:v>
                </c:pt>
                <c:pt idx="2">
                  <c:v>0.29409999999999997</c:v>
                </c:pt>
                <c:pt idx="3">
                  <c:v>0.29409999999999997</c:v>
                </c:pt>
                <c:pt idx="4">
                  <c:v>0.29409999999999997</c:v>
                </c:pt>
                <c:pt idx="5">
                  <c:v>0.29409999999999997</c:v>
                </c:pt>
                <c:pt idx="6">
                  <c:v>0.33329999999999999</c:v>
                </c:pt>
                <c:pt idx="7">
                  <c:v>0.33329999999999999</c:v>
                </c:pt>
                <c:pt idx="8">
                  <c:v>0.33610000000000001</c:v>
                </c:pt>
                <c:pt idx="9">
                  <c:v>0.33329999999999999</c:v>
                </c:pt>
                <c:pt idx="10">
                  <c:v>0.32790000000000002</c:v>
                </c:pt>
                <c:pt idx="11">
                  <c:v>0.33329999999999999</c:v>
                </c:pt>
                <c:pt idx="12">
                  <c:v>0.33610000000000001</c:v>
                </c:pt>
                <c:pt idx="13">
                  <c:v>0.35249999999999998</c:v>
                </c:pt>
                <c:pt idx="14">
                  <c:v>0.375</c:v>
                </c:pt>
                <c:pt idx="15">
                  <c:v>0.375</c:v>
                </c:pt>
                <c:pt idx="16">
                  <c:v>0.38840000000000002</c:v>
                </c:pt>
                <c:pt idx="17">
                  <c:v>0.39829999999999999</c:v>
                </c:pt>
                <c:pt idx="18">
                  <c:v>0.4103</c:v>
                </c:pt>
                <c:pt idx="19">
                  <c:v>0.4103</c:v>
                </c:pt>
                <c:pt idx="20">
                  <c:v>0.4138</c:v>
                </c:pt>
                <c:pt idx="21">
                  <c:v>0.43099999999999999</c:v>
                </c:pt>
                <c:pt idx="22">
                  <c:v>0.43480000000000002</c:v>
                </c:pt>
                <c:pt idx="23">
                  <c:v>0.43859999999999999</c:v>
                </c:pt>
                <c:pt idx="24">
                  <c:v>0.43859999999999999</c:v>
                </c:pt>
                <c:pt idx="25">
                  <c:v>0.52829999999999999</c:v>
                </c:pt>
                <c:pt idx="26">
                  <c:v>0.54810000000000003</c:v>
                </c:pt>
                <c:pt idx="27">
                  <c:v>0.5534</c:v>
                </c:pt>
                <c:pt idx="28">
                  <c:v>0.5534</c:v>
                </c:pt>
                <c:pt idx="29">
                  <c:v>0.54899999999999993</c:v>
                </c:pt>
                <c:pt idx="30">
                  <c:v>0.57140000000000002</c:v>
                </c:pt>
                <c:pt idx="31">
                  <c:v>0.65980000000000005</c:v>
                </c:pt>
                <c:pt idx="32">
                  <c:v>0.65980000000000005</c:v>
                </c:pt>
                <c:pt idx="33">
                  <c:v>0.72829999999999995</c:v>
                </c:pt>
                <c:pt idx="34">
                  <c:v>0.75</c:v>
                </c:pt>
                <c:pt idx="35">
                  <c:v>0.79760000000000009</c:v>
                </c:pt>
                <c:pt idx="36">
                  <c:v>0.79760000000000009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3E-427D-A091-C22FC2F6B2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</a:t>
                </a:r>
                <a:r>
                  <a:rPr lang="en-US" baseline="0"/>
                  <a:t> of Seeking Students Placed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Search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NittyGrittySheet!$A$197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NittyGrittySheet!$B$196:$AL$196</c:f>
              <c:strCache>
                <c:ptCount val="37"/>
                <c:pt idx="0">
                  <c:v>10/13/2025</c:v>
                </c:pt>
                <c:pt idx="1">
                  <c:v>10/17/2025</c:v>
                </c:pt>
                <c:pt idx="2">
                  <c:v>10/24/2025</c:v>
                </c:pt>
                <c:pt idx="3">
                  <c:v>10/31/2025</c:v>
                </c:pt>
                <c:pt idx="4">
                  <c:v>11/7/2025</c:v>
                </c:pt>
                <c:pt idx="5">
                  <c:v>11/14/2025</c:v>
                </c:pt>
                <c:pt idx="6">
                  <c:v>11/21/2025</c:v>
                </c:pt>
                <c:pt idx="7">
                  <c:v>11/28/2025</c:v>
                </c:pt>
                <c:pt idx="8">
                  <c:v>12/5/2025</c:v>
                </c:pt>
                <c:pt idx="9">
                  <c:v>12/12/2025</c:v>
                </c:pt>
                <c:pt idx="10">
                  <c:v>12/19/2025</c:v>
                </c:pt>
                <c:pt idx="11">
                  <c:v>12/26/2025</c:v>
                </c:pt>
                <c:pt idx="12">
                  <c:v>1/2/2026</c:v>
                </c:pt>
                <c:pt idx="13">
                  <c:v>1/9/2026</c:v>
                </c:pt>
                <c:pt idx="14">
                  <c:v>1/16/2026</c:v>
                </c:pt>
                <c:pt idx="15">
                  <c:v>1/23/2026</c:v>
                </c:pt>
                <c:pt idx="16">
                  <c:v>1/30/2026</c:v>
                </c:pt>
                <c:pt idx="17">
                  <c:v>2/6/2026</c:v>
                </c:pt>
                <c:pt idx="18">
                  <c:v>2/13/2026</c:v>
                </c:pt>
                <c:pt idx="19">
                  <c:v>2/20/2026</c:v>
                </c:pt>
                <c:pt idx="20">
                  <c:v>2/27/2026</c:v>
                </c:pt>
                <c:pt idx="21">
                  <c:v>3/13/2026</c:v>
                </c:pt>
                <c:pt idx="22">
                  <c:v>3/20/2026</c:v>
                </c:pt>
                <c:pt idx="23">
                  <c:v>3/27/2026</c:v>
                </c:pt>
                <c:pt idx="24">
                  <c:v>4/3/2026</c:v>
                </c:pt>
                <c:pt idx="25">
                  <c:v>4/10/2026</c:v>
                </c:pt>
                <c:pt idx="26">
                  <c:v>4/17/2026</c:v>
                </c:pt>
                <c:pt idx="27">
                  <c:v>4/24/2026</c:v>
                </c:pt>
                <c:pt idx="28">
                  <c:v>5/1/2026</c:v>
                </c:pt>
                <c:pt idx="29">
                  <c:v>5/8/2026</c:v>
                </c:pt>
                <c:pt idx="30">
                  <c:v>5/15/2026</c:v>
                </c:pt>
                <c:pt idx="31">
                  <c:v>5/22/2026</c:v>
                </c:pt>
                <c:pt idx="32">
                  <c:v>05/29/2026</c:v>
                </c:pt>
                <c:pt idx="33">
                  <c:v>6/5/2026</c:v>
                </c:pt>
                <c:pt idx="34">
                  <c:v>6/12/2026</c:v>
                </c:pt>
                <c:pt idx="35">
                  <c:v>6/19/2026</c:v>
                </c:pt>
                <c:pt idx="36">
                  <c:v>6/26/2026</c:v>
                </c:pt>
              </c:strCache>
            </c:strRef>
          </c:cat>
          <c:val>
            <c:numRef>
              <c:f>NittyGrittySheet!$B$197:$AL$197</c:f>
              <c:numCache>
                <c:formatCode>General</c:formatCode>
                <c:ptCount val="37"/>
                <c:pt idx="0">
                  <c:v>33</c:v>
                </c:pt>
                <c:pt idx="1">
                  <c:v>33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41</c:v>
                </c:pt>
                <c:pt idx="7">
                  <c:v>41</c:v>
                </c:pt>
                <c:pt idx="8">
                  <c:v>41</c:v>
                </c:pt>
                <c:pt idx="9">
                  <c:v>41</c:v>
                </c:pt>
                <c:pt idx="10">
                  <c:v>40</c:v>
                </c:pt>
                <c:pt idx="11">
                  <c:v>41</c:v>
                </c:pt>
                <c:pt idx="12">
                  <c:v>41</c:v>
                </c:pt>
                <c:pt idx="13">
                  <c:v>43</c:v>
                </c:pt>
                <c:pt idx="14">
                  <c:v>45</c:v>
                </c:pt>
                <c:pt idx="15">
                  <c:v>45</c:v>
                </c:pt>
                <c:pt idx="16">
                  <c:v>47</c:v>
                </c:pt>
                <c:pt idx="17">
                  <c:v>47</c:v>
                </c:pt>
                <c:pt idx="18">
                  <c:v>48</c:v>
                </c:pt>
                <c:pt idx="19">
                  <c:v>48</c:v>
                </c:pt>
                <c:pt idx="20">
                  <c:v>48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56</c:v>
                </c:pt>
                <c:pt idx="26">
                  <c:v>57</c:v>
                </c:pt>
                <c:pt idx="27">
                  <c:v>57</c:v>
                </c:pt>
                <c:pt idx="28">
                  <c:v>57</c:v>
                </c:pt>
                <c:pt idx="29">
                  <c:v>56</c:v>
                </c:pt>
                <c:pt idx="30">
                  <c:v>56</c:v>
                </c:pt>
                <c:pt idx="31">
                  <c:v>64</c:v>
                </c:pt>
                <c:pt idx="32">
                  <c:v>64</c:v>
                </c:pt>
                <c:pt idx="33">
                  <c:v>67</c:v>
                </c:pt>
                <c:pt idx="34">
                  <c:v>66</c:v>
                </c:pt>
                <c:pt idx="35">
                  <c:v>67</c:v>
                </c:pt>
                <c:pt idx="36">
                  <c:v>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E3-465D-9FBB-89D530E8F1E7}"/>
            </c:ext>
          </c:extLst>
        </c:ser>
        <c:ser>
          <c:idx val="1"/>
          <c:order val="1"/>
          <c:tx>
            <c:strRef>
              <c:f>NittyGrittySheet!$A$198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NittyGrittySheet!$B$196:$AL$196</c:f>
              <c:strCache>
                <c:ptCount val="37"/>
                <c:pt idx="0">
                  <c:v>10/13/2025</c:v>
                </c:pt>
                <c:pt idx="1">
                  <c:v>10/17/2025</c:v>
                </c:pt>
                <c:pt idx="2">
                  <c:v>10/24/2025</c:v>
                </c:pt>
                <c:pt idx="3">
                  <c:v>10/31/2025</c:v>
                </c:pt>
                <c:pt idx="4">
                  <c:v>11/7/2025</c:v>
                </c:pt>
                <c:pt idx="5">
                  <c:v>11/14/2025</c:v>
                </c:pt>
                <c:pt idx="6">
                  <c:v>11/21/2025</c:v>
                </c:pt>
                <c:pt idx="7">
                  <c:v>11/28/2025</c:v>
                </c:pt>
                <c:pt idx="8">
                  <c:v>12/5/2025</c:v>
                </c:pt>
                <c:pt idx="9">
                  <c:v>12/12/2025</c:v>
                </c:pt>
                <c:pt idx="10">
                  <c:v>12/19/2025</c:v>
                </c:pt>
                <c:pt idx="11">
                  <c:v>12/26/2025</c:v>
                </c:pt>
                <c:pt idx="12">
                  <c:v>1/2/2026</c:v>
                </c:pt>
                <c:pt idx="13">
                  <c:v>1/9/2026</c:v>
                </c:pt>
                <c:pt idx="14">
                  <c:v>1/16/2026</c:v>
                </c:pt>
                <c:pt idx="15">
                  <c:v>1/23/2026</c:v>
                </c:pt>
                <c:pt idx="16">
                  <c:v>1/30/2026</c:v>
                </c:pt>
                <c:pt idx="17">
                  <c:v>2/6/2026</c:v>
                </c:pt>
                <c:pt idx="18">
                  <c:v>2/13/2026</c:v>
                </c:pt>
                <c:pt idx="19">
                  <c:v>2/20/2026</c:v>
                </c:pt>
                <c:pt idx="20">
                  <c:v>2/27/2026</c:v>
                </c:pt>
                <c:pt idx="21">
                  <c:v>3/13/2026</c:v>
                </c:pt>
                <c:pt idx="22">
                  <c:v>3/20/2026</c:v>
                </c:pt>
                <c:pt idx="23">
                  <c:v>3/27/2026</c:v>
                </c:pt>
                <c:pt idx="24">
                  <c:v>4/3/2026</c:v>
                </c:pt>
                <c:pt idx="25">
                  <c:v>4/10/2026</c:v>
                </c:pt>
                <c:pt idx="26">
                  <c:v>4/17/2026</c:v>
                </c:pt>
                <c:pt idx="27">
                  <c:v>4/24/2026</c:v>
                </c:pt>
                <c:pt idx="28">
                  <c:v>5/1/2026</c:v>
                </c:pt>
                <c:pt idx="29">
                  <c:v>5/8/2026</c:v>
                </c:pt>
                <c:pt idx="30">
                  <c:v>5/15/2026</c:v>
                </c:pt>
                <c:pt idx="31">
                  <c:v>5/22/2026</c:v>
                </c:pt>
                <c:pt idx="32">
                  <c:v>05/29/2026</c:v>
                </c:pt>
                <c:pt idx="33">
                  <c:v>6/5/2026</c:v>
                </c:pt>
                <c:pt idx="34">
                  <c:v>6/12/2026</c:v>
                </c:pt>
                <c:pt idx="35">
                  <c:v>6/19/2026</c:v>
                </c:pt>
                <c:pt idx="36">
                  <c:v>6/26/2026</c:v>
                </c:pt>
              </c:strCache>
            </c:strRef>
          </c:cat>
          <c:val>
            <c:numRef>
              <c:f>NittyGrittySheet!$B$198:$AL$198</c:f>
              <c:numCache>
                <c:formatCode>General</c:formatCode>
                <c:ptCount val="37"/>
                <c:pt idx="0">
                  <c:v>22</c:v>
                </c:pt>
                <c:pt idx="1">
                  <c:v>22</c:v>
                </c:pt>
                <c:pt idx="2">
                  <c:v>22</c:v>
                </c:pt>
                <c:pt idx="3">
                  <c:v>22</c:v>
                </c:pt>
                <c:pt idx="4">
                  <c:v>22</c:v>
                </c:pt>
                <c:pt idx="5">
                  <c:v>22</c:v>
                </c:pt>
                <c:pt idx="6">
                  <c:v>21</c:v>
                </c:pt>
                <c:pt idx="7">
                  <c:v>21</c:v>
                </c:pt>
                <c:pt idx="8">
                  <c:v>22</c:v>
                </c:pt>
                <c:pt idx="9">
                  <c:v>24</c:v>
                </c:pt>
                <c:pt idx="10">
                  <c:v>25</c:v>
                </c:pt>
                <c:pt idx="11">
                  <c:v>26</c:v>
                </c:pt>
                <c:pt idx="12">
                  <c:v>30</c:v>
                </c:pt>
                <c:pt idx="13">
                  <c:v>32</c:v>
                </c:pt>
                <c:pt idx="14">
                  <c:v>35</c:v>
                </c:pt>
                <c:pt idx="15">
                  <c:v>35</c:v>
                </c:pt>
                <c:pt idx="16">
                  <c:v>34</c:v>
                </c:pt>
                <c:pt idx="17">
                  <c:v>34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33</c:v>
                </c:pt>
                <c:pt idx="22">
                  <c:v>33</c:v>
                </c:pt>
                <c:pt idx="23">
                  <c:v>33</c:v>
                </c:pt>
                <c:pt idx="24">
                  <c:v>33</c:v>
                </c:pt>
                <c:pt idx="25">
                  <c:v>31</c:v>
                </c:pt>
                <c:pt idx="26">
                  <c:v>31</c:v>
                </c:pt>
                <c:pt idx="27">
                  <c:v>32</c:v>
                </c:pt>
                <c:pt idx="28">
                  <c:v>32</c:v>
                </c:pt>
                <c:pt idx="29">
                  <c:v>33</c:v>
                </c:pt>
                <c:pt idx="30">
                  <c:v>29</c:v>
                </c:pt>
                <c:pt idx="31">
                  <c:v>21</c:v>
                </c:pt>
                <c:pt idx="32">
                  <c:v>22</c:v>
                </c:pt>
                <c:pt idx="33">
                  <c:v>17</c:v>
                </c:pt>
                <c:pt idx="34">
                  <c:v>16</c:v>
                </c:pt>
                <c:pt idx="35">
                  <c:v>12</c:v>
                </c:pt>
                <c:pt idx="36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E3-465D-9FBB-89D530E8F1E7}"/>
            </c:ext>
          </c:extLst>
        </c:ser>
        <c:ser>
          <c:idx val="3"/>
          <c:order val="3"/>
          <c:tx>
            <c:strRef>
              <c:f>NittyGrittySheet!$A$200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NittyGrittySheet!$B$196:$AL$196</c:f>
              <c:strCache>
                <c:ptCount val="37"/>
                <c:pt idx="0">
                  <c:v>10/13/2025</c:v>
                </c:pt>
                <c:pt idx="1">
                  <c:v>10/17/2025</c:v>
                </c:pt>
                <c:pt idx="2">
                  <c:v>10/24/2025</c:v>
                </c:pt>
                <c:pt idx="3">
                  <c:v>10/31/2025</c:v>
                </c:pt>
                <c:pt idx="4">
                  <c:v>11/7/2025</c:v>
                </c:pt>
                <c:pt idx="5">
                  <c:v>11/14/2025</c:v>
                </c:pt>
                <c:pt idx="6">
                  <c:v>11/21/2025</c:v>
                </c:pt>
                <c:pt idx="7">
                  <c:v>11/28/2025</c:v>
                </c:pt>
                <c:pt idx="8">
                  <c:v>12/5/2025</c:v>
                </c:pt>
                <c:pt idx="9">
                  <c:v>12/12/2025</c:v>
                </c:pt>
                <c:pt idx="10">
                  <c:v>12/19/2025</c:v>
                </c:pt>
                <c:pt idx="11">
                  <c:v>12/26/2025</c:v>
                </c:pt>
                <c:pt idx="12">
                  <c:v>1/2/2026</c:v>
                </c:pt>
                <c:pt idx="13">
                  <c:v>1/9/2026</c:v>
                </c:pt>
                <c:pt idx="14">
                  <c:v>1/16/2026</c:v>
                </c:pt>
                <c:pt idx="15">
                  <c:v>1/23/2026</c:v>
                </c:pt>
                <c:pt idx="16">
                  <c:v>1/30/2026</c:v>
                </c:pt>
                <c:pt idx="17">
                  <c:v>2/6/2026</c:v>
                </c:pt>
                <c:pt idx="18">
                  <c:v>2/13/2026</c:v>
                </c:pt>
                <c:pt idx="19">
                  <c:v>2/20/2026</c:v>
                </c:pt>
                <c:pt idx="20">
                  <c:v>2/27/2026</c:v>
                </c:pt>
                <c:pt idx="21">
                  <c:v>3/13/2026</c:v>
                </c:pt>
                <c:pt idx="22">
                  <c:v>3/20/2026</c:v>
                </c:pt>
                <c:pt idx="23">
                  <c:v>3/27/2026</c:v>
                </c:pt>
                <c:pt idx="24">
                  <c:v>4/3/2026</c:v>
                </c:pt>
                <c:pt idx="25">
                  <c:v>4/10/2026</c:v>
                </c:pt>
                <c:pt idx="26">
                  <c:v>4/17/2026</c:v>
                </c:pt>
                <c:pt idx="27">
                  <c:v>4/24/2026</c:v>
                </c:pt>
                <c:pt idx="28">
                  <c:v>5/1/2026</c:v>
                </c:pt>
                <c:pt idx="29">
                  <c:v>5/8/2026</c:v>
                </c:pt>
                <c:pt idx="30">
                  <c:v>5/15/2026</c:v>
                </c:pt>
                <c:pt idx="31">
                  <c:v>5/22/2026</c:v>
                </c:pt>
                <c:pt idx="32">
                  <c:v>05/29/2026</c:v>
                </c:pt>
                <c:pt idx="33">
                  <c:v>6/5/2026</c:v>
                </c:pt>
                <c:pt idx="34">
                  <c:v>6/12/2026</c:v>
                </c:pt>
                <c:pt idx="35">
                  <c:v>6/19/2026</c:v>
                </c:pt>
                <c:pt idx="36">
                  <c:v>6/26/2026</c:v>
                </c:pt>
              </c:strCache>
            </c:strRef>
          </c:cat>
          <c:val>
            <c:numRef>
              <c:f>NittyGrittySheet!$B$200:$AL$200</c:f>
              <c:numCache>
                <c:formatCode>General</c:formatCode>
                <c:ptCount val="37"/>
                <c:pt idx="0">
                  <c:v>63</c:v>
                </c:pt>
                <c:pt idx="1">
                  <c:v>63</c:v>
                </c:pt>
                <c:pt idx="2">
                  <c:v>62</c:v>
                </c:pt>
                <c:pt idx="3">
                  <c:v>62</c:v>
                </c:pt>
                <c:pt idx="4">
                  <c:v>62</c:v>
                </c:pt>
                <c:pt idx="5">
                  <c:v>62</c:v>
                </c:pt>
                <c:pt idx="6">
                  <c:v>61</c:v>
                </c:pt>
                <c:pt idx="7">
                  <c:v>61</c:v>
                </c:pt>
                <c:pt idx="8">
                  <c:v>59</c:v>
                </c:pt>
                <c:pt idx="9">
                  <c:v>58</c:v>
                </c:pt>
                <c:pt idx="10">
                  <c:v>57</c:v>
                </c:pt>
                <c:pt idx="11">
                  <c:v>56</c:v>
                </c:pt>
                <c:pt idx="12">
                  <c:v>51</c:v>
                </c:pt>
                <c:pt idx="13">
                  <c:v>47</c:v>
                </c:pt>
                <c:pt idx="14">
                  <c:v>40</c:v>
                </c:pt>
                <c:pt idx="15">
                  <c:v>40</c:v>
                </c:pt>
                <c:pt idx="16">
                  <c:v>40</c:v>
                </c:pt>
                <c:pt idx="17">
                  <c:v>37</c:v>
                </c:pt>
                <c:pt idx="18">
                  <c:v>34</c:v>
                </c:pt>
                <c:pt idx="19">
                  <c:v>34</c:v>
                </c:pt>
                <c:pt idx="20">
                  <c:v>33</c:v>
                </c:pt>
                <c:pt idx="21">
                  <c:v>33</c:v>
                </c:pt>
                <c:pt idx="22">
                  <c:v>32</c:v>
                </c:pt>
                <c:pt idx="23">
                  <c:v>31</c:v>
                </c:pt>
                <c:pt idx="24">
                  <c:v>31</c:v>
                </c:pt>
                <c:pt idx="25">
                  <c:v>19</c:v>
                </c:pt>
                <c:pt idx="26">
                  <c:v>16</c:v>
                </c:pt>
                <c:pt idx="27">
                  <c:v>14</c:v>
                </c:pt>
                <c:pt idx="28">
                  <c:v>14</c:v>
                </c:pt>
                <c:pt idx="29">
                  <c:v>13</c:v>
                </c:pt>
                <c:pt idx="30">
                  <c:v>13</c:v>
                </c:pt>
                <c:pt idx="31">
                  <c:v>12</c:v>
                </c:pt>
                <c:pt idx="32">
                  <c:v>11</c:v>
                </c:pt>
                <c:pt idx="33">
                  <c:v>8</c:v>
                </c:pt>
                <c:pt idx="34">
                  <c:v>6</c:v>
                </c:pt>
                <c:pt idx="35">
                  <c:v>5</c:v>
                </c:pt>
                <c:pt idx="36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E3-465D-9FBB-89D530E8F1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NittyGrittySheet!$A$199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NittyGrittySheet!$B$196:$AL$196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NittyGrittySheet!$B$199:$AL$199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EDE3-465D-9FBB-89D530E8F1E7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NittyGrittySheet!$A$201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NittyGrittySheet!$B$196:$AL$196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NittyGrittySheet!$B$201:$AL$201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5</c:v>
                      </c:pt>
                      <c:pt idx="1">
                        <c:v>5</c:v>
                      </c:pt>
                      <c:pt idx="2">
                        <c:v>5</c:v>
                      </c:pt>
                      <c:pt idx="3">
                        <c:v>5</c:v>
                      </c:pt>
                      <c:pt idx="4">
                        <c:v>5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6</c:v>
                      </c:pt>
                      <c:pt idx="8">
                        <c:v>7</c:v>
                      </c:pt>
                      <c:pt idx="9">
                        <c:v>7</c:v>
                      </c:pt>
                      <c:pt idx="10">
                        <c:v>7</c:v>
                      </c:pt>
                      <c:pt idx="11">
                        <c:v>7</c:v>
                      </c:pt>
                      <c:pt idx="12">
                        <c:v>8</c:v>
                      </c:pt>
                      <c:pt idx="13">
                        <c:v>8</c:v>
                      </c:pt>
                      <c:pt idx="14">
                        <c:v>8</c:v>
                      </c:pt>
                      <c:pt idx="15">
                        <c:v>8</c:v>
                      </c:pt>
                      <c:pt idx="16">
                        <c:v>8</c:v>
                      </c:pt>
                      <c:pt idx="17">
                        <c:v>8</c:v>
                      </c:pt>
                      <c:pt idx="18">
                        <c:v>8</c:v>
                      </c:pt>
                      <c:pt idx="19">
                        <c:v>8</c:v>
                      </c:pt>
                      <c:pt idx="20">
                        <c:v>8</c:v>
                      </c:pt>
                      <c:pt idx="21">
                        <c:v>8</c:v>
                      </c:pt>
                      <c:pt idx="22">
                        <c:v>9</c:v>
                      </c:pt>
                      <c:pt idx="23">
                        <c:v>9</c:v>
                      </c:pt>
                      <c:pt idx="24">
                        <c:v>9</c:v>
                      </c:pt>
                      <c:pt idx="25">
                        <c:v>10</c:v>
                      </c:pt>
                      <c:pt idx="26">
                        <c:v>10</c:v>
                      </c:pt>
                      <c:pt idx="27">
                        <c:v>9</c:v>
                      </c:pt>
                      <c:pt idx="28">
                        <c:v>9</c:v>
                      </c:pt>
                      <c:pt idx="29">
                        <c:v>9</c:v>
                      </c:pt>
                      <c:pt idx="30">
                        <c:v>9</c:v>
                      </c:pt>
                      <c:pt idx="31">
                        <c:v>9</c:v>
                      </c:pt>
                      <c:pt idx="32">
                        <c:v>8</c:v>
                      </c:pt>
                      <c:pt idx="33">
                        <c:v>11</c:v>
                      </c:pt>
                      <c:pt idx="34">
                        <c:v>11</c:v>
                      </c:pt>
                      <c:pt idx="35">
                        <c:v>11</c:v>
                      </c:pt>
                      <c:pt idx="36">
                        <c:v>11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DE3-465D-9FBB-89D530E8F1E7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NittyGrittySheet!$A$202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NittyGrittySheet!$B$196:$AL$196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NittyGrittySheet!$B$202:$AL$202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EDE3-465D-9FBB-89D530E8F1E7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NittyGrittySheet!$A$203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NittyGrittySheet!$B$196:$AL$196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NittyGrittySheet!$B$203:$AL$203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2</c:v>
                      </c:pt>
                      <c:pt idx="14">
                        <c:v>2</c:v>
                      </c:pt>
                      <c:pt idx="15">
                        <c:v>2</c:v>
                      </c:pt>
                      <c:pt idx="16">
                        <c:v>2</c:v>
                      </c:pt>
                      <c:pt idx="17">
                        <c:v>2</c:v>
                      </c:pt>
                      <c:pt idx="18">
                        <c:v>2</c:v>
                      </c:pt>
                      <c:pt idx="19">
                        <c:v>2</c:v>
                      </c:pt>
                      <c:pt idx="20">
                        <c:v>2</c:v>
                      </c:pt>
                      <c:pt idx="21">
                        <c:v>2</c:v>
                      </c:pt>
                      <c:pt idx="22">
                        <c:v>2</c:v>
                      </c:pt>
                      <c:pt idx="23">
                        <c:v>2</c:v>
                      </c:pt>
                      <c:pt idx="24">
                        <c:v>2</c:v>
                      </c:pt>
                      <c:pt idx="25">
                        <c:v>2</c:v>
                      </c:pt>
                      <c:pt idx="26">
                        <c:v>2</c:v>
                      </c:pt>
                      <c:pt idx="27">
                        <c:v>2</c:v>
                      </c:pt>
                      <c:pt idx="28">
                        <c:v>2</c:v>
                      </c:pt>
                      <c:pt idx="29">
                        <c:v>2</c:v>
                      </c:pt>
                      <c:pt idx="30">
                        <c:v>2</c:v>
                      </c:pt>
                      <c:pt idx="31">
                        <c:v>3</c:v>
                      </c:pt>
                      <c:pt idx="32">
                        <c:v>4</c:v>
                      </c:pt>
                      <c:pt idx="33">
                        <c:v>5</c:v>
                      </c:pt>
                      <c:pt idx="34">
                        <c:v>7</c:v>
                      </c:pt>
                      <c:pt idx="35">
                        <c:v>8</c:v>
                      </c:pt>
                      <c:pt idx="36">
                        <c:v>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EDE3-465D-9FBB-89D530E8F1E7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NittyGrittySheet!$A$204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NittyGrittySheet!$B$196:$AL$196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NittyGrittySheet!$B$204:$AL$204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EDE3-465D-9FBB-89D530E8F1E7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NittyGrittySheet!$A$205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NittyGrittySheet!$B$196:$AL$196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NittyGrittySheet!$B$205:$AL$205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EDE3-465D-9FBB-89D530E8F1E7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NittyGrittySheet!$A$206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NittyGrittySheet!$B$196:$AL$196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NittyGrittySheet!$B$206:$AL$206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5</c:v>
                      </c:pt>
                      <c:pt idx="1">
                        <c:v>5</c:v>
                      </c:pt>
                      <c:pt idx="2">
                        <c:v>5</c:v>
                      </c:pt>
                      <c:pt idx="3">
                        <c:v>5</c:v>
                      </c:pt>
                      <c:pt idx="4">
                        <c:v>5</c:v>
                      </c:pt>
                      <c:pt idx="5">
                        <c:v>5</c:v>
                      </c:pt>
                      <c:pt idx="6">
                        <c:v>10</c:v>
                      </c:pt>
                      <c:pt idx="7">
                        <c:v>10</c:v>
                      </c:pt>
                      <c:pt idx="8">
                        <c:v>10</c:v>
                      </c:pt>
                      <c:pt idx="9">
                        <c:v>9</c:v>
                      </c:pt>
                      <c:pt idx="10">
                        <c:v>9</c:v>
                      </c:pt>
                      <c:pt idx="11">
                        <c:v>8</c:v>
                      </c:pt>
                      <c:pt idx="12">
                        <c:v>8</c:v>
                      </c:pt>
                      <c:pt idx="13">
                        <c:v>8</c:v>
                      </c:pt>
                      <c:pt idx="14">
                        <c:v>9</c:v>
                      </c:pt>
                      <c:pt idx="15">
                        <c:v>9</c:v>
                      </c:pt>
                      <c:pt idx="16">
                        <c:v>9</c:v>
                      </c:pt>
                      <c:pt idx="17">
                        <c:v>9</c:v>
                      </c:pt>
                      <c:pt idx="18">
                        <c:v>9</c:v>
                      </c:pt>
                      <c:pt idx="19">
                        <c:v>9</c:v>
                      </c:pt>
                      <c:pt idx="20">
                        <c:v>10</c:v>
                      </c:pt>
                      <c:pt idx="21">
                        <c:v>10</c:v>
                      </c:pt>
                      <c:pt idx="22">
                        <c:v>10</c:v>
                      </c:pt>
                      <c:pt idx="23">
                        <c:v>10</c:v>
                      </c:pt>
                      <c:pt idx="24">
                        <c:v>10</c:v>
                      </c:pt>
                      <c:pt idx="25">
                        <c:v>11</c:v>
                      </c:pt>
                      <c:pt idx="26">
                        <c:v>12</c:v>
                      </c:pt>
                      <c:pt idx="27">
                        <c:v>11</c:v>
                      </c:pt>
                      <c:pt idx="28">
                        <c:v>11</c:v>
                      </c:pt>
                      <c:pt idx="29">
                        <c:v>11</c:v>
                      </c:pt>
                      <c:pt idx="30">
                        <c:v>12</c:v>
                      </c:pt>
                      <c:pt idx="31">
                        <c:v>12</c:v>
                      </c:pt>
                      <c:pt idx="32">
                        <c:v>12</c:v>
                      </c:pt>
                      <c:pt idx="33">
                        <c:v>12</c:v>
                      </c:pt>
                      <c:pt idx="34">
                        <c:v>13</c:v>
                      </c:pt>
                      <c:pt idx="35">
                        <c:v>14</c:v>
                      </c:pt>
                      <c:pt idx="36">
                        <c:v>12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EDE3-465D-9FBB-89D530E8F1E7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NittyGrittySheet!$A$207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NittyGrittySheet!$B$196:$AL$196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NittyGrittySheet!$B$207:$AL$207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129</c:v>
                      </c:pt>
                      <c:pt idx="1">
                        <c:v>129</c:v>
                      </c:pt>
                      <c:pt idx="2">
                        <c:v>130</c:v>
                      </c:pt>
                      <c:pt idx="3">
                        <c:v>130</c:v>
                      </c:pt>
                      <c:pt idx="4">
                        <c:v>130</c:v>
                      </c:pt>
                      <c:pt idx="5">
                        <c:v>130</c:v>
                      </c:pt>
                      <c:pt idx="6">
                        <c:v>140</c:v>
                      </c:pt>
                      <c:pt idx="7">
                        <c:v>140</c:v>
                      </c:pt>
                      <c:pt idx="8">
                        <c:v>140</c:v>
                      </c:pt>
                      <c:pt idx="9">
                        <c:v>140</c:v>
                      </c:pt>
                      <c:pt idx="10">
                        <c:v>139</c:v>
                      </c:pt>
                      <c:pt idx="11">
                        <c:v>139</c:v>
                      </c:pt>
                      <c:pt idx="12">
                        <c:v>139</c:v>
                      </c:pt>
                      <c:pt idx="13">
                        <c:v>140</c:v>
                      </c:pt>
                      <c:pt idx="14">
                        <c:v>139</c:v>
                      </c:pt>
                      <c:pt idx="15">
                        <c:v>139</c:v>
                      </c:pt>
                      <c:pt idx="16">
                        <c:v>140</c:v>
                      </c:pt>
                      <c:pt idx="17">
                        <c:v>137</c:v>
                      </c:pt>
                      <c:pt idx="18">
                        <c:v>137</c:v>
                      </c:pt>
                      <c:pt idx="19">
                        <c:v>137</c:v>
                      </c:pt>
                      <c:pt idx="20">
                        <c:v>137</c:v>
                      </c:pt>
                      <c:pt idx="21">
                        <c:v>137</c:v>
                      </c:pt>
                      <c:pt idx="22">
                        <c:v>137</c:v>
                      </c:pt>
                      <c:pt idx="23">
                        <c:v>136</c:v>
                      </c:pt>
                      <c:pt idx="24">
                        <c:v>136</c:v>
                      </c:pt>
                      <c:pt idx="25">
                        <c:v>130</c:v>
                      </c:pt>
                      <c:pt idx="26">
                        <c:v>129</c:v>
                      </c:pt>
                      <c:pt idx="27">
                        <c:v>126</c:v>
                      </c:pt>
                      <c:pt idx="28">
                        <c:v>126</c:v>
                      </c:pt>
                      <c:pt idx="29">
                        <c:v>125</c:v>
                      </c:pt>
                      <c:pt idx="30">
                        <c:v>122</c:v>
                      </c:pt>
                      <c:pt idx="31">
                        <c:v>122</c:v>
                      </c:pt>
                      <c:pt idx="32">
                        <c:v>122</c:v>
                      </c:pt>
                      <c:pt idx="33">
                        <c:v>121</c:v>
                      </c:pt>
                      <c:pt idx="34">
                        <c:v>120</c:v>
                      </c:pt>
                      <c:pt idx="35">
                        <c:v>118</c:v>
                      </c:pt>
                      <c:pt idx="36">
                        <c:v>116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EDE3-465D-9FBB-89D530E8F1E7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% Placed 5 Year Summary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MAcc!$O$24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MAcc!$O$25:$O$38</c:f>
              <c:numCache>
                <c:formatCode>0.00%</c:formatCode>
                <c:ptCount val="14"/>
                <c:pt idx="0">
                  <c:v>0.127</c:v>
                </c:pt>
                <c:pt idx="1">
                  <c:v>0.20630000000000001</c:v>
                </c:pt>
                <c:pt idx="2">
                  <c:v>0.27510000000000001</c:v>
                </c:pt>
                <c:pt idx="3">
                  <c:v>0.43919999999999998</c:v>
                </c:pt>
                <c:pt idx="4">
                  <c:v>0.46029999999999999</c:v>
                </c:pt>
                <c:pt idx="5">
                  <c:v>0.71430000000000005</c:v>
                </c:pt>
                <c:pt idx="6">
                  <c:v>0.88360000000000005</c:v>
                </c:pt>
                <c:pt idx="7">
                  <c:v>0.94710000000000005</c:v>
                </c:pt>
                <c:pt idx="8">
                  <c:v>0.96299999999999997</c:v>
                </c:pt>
                <c:pt idx="9">
                  <c:v>0.98409999999999997</c:v>
                </c:pt>
                <c:pt idx="10">
                  <c:v>0.98939999999999995</c:v>
                </c:pt>
                <c:pt idx="11">
                  <c:v>0.99470000000000003</c:v>
                </c:pt>
                <c:pt idx="12">
                  <c:v>0.99470000000000003</c:v>
                </c:pt>
                <c:pt idx="13">
                  <c:v>0.99470000000000003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A2-4DB8-8FD8-A7D7AC71B95A}"/>
            </c:ext>
          </c:extLst>
        </c:ser>
        <c:ser>
          <c:idx val="2"/>
          <c:order val="1"/>
          <c:tx>
            <c:strRef>
              <c:f>MAcc!$P$24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MAcc!$P$25:$P$38</c:f>
              <c:numCache>
                <c:formatCode>0.00%</c:formatCode>
                <c:ptCount val="14"/>
                <c:pt idx="0">
                  <c:v>0.1656</c:v>
                </c:pt>
                <c:pt idx="1">
                  <c:v>0.36199999999999999</c:v>
                </c:pt>
                <c:pt idx="2">
                  <c:v>0.41720000000000002</c:v>
                </c:pt>
                <c:pt idx="3">
                  <c:v>0.4294</c:v>
                </c:pt>
                <c:pt idx="4">
                  <c:v>0.56440000000000001</c:v>
                </c:pt>
                <c:pt idx="5">
                  <c:v>0.68100000000000005</c:v>
                </c:pt>
                <c:pt idx="6">
                  <c:v>0.83440000000000003</c:v>
                </c:pt>
                <c:pt idx="7">
                  <c:v>0.95089999999999997</c:v>
                </c:pt>
                <c:pt idx="8">
                  <c:v>0.96930000000000005</c:v>
                </c:pt>
                <c:pt idx="9">
                  <c:v>0.97550000000000003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B5A2-4DB8-8FD8-A7D7AC71B95A}"/>
            </c:ext>
          </c:extLst>
        </c:ser>
        <c:ser>
          <c:idx val="3"/>
          <c:order val="2"/>
          <c:tx>
            <c:strRef>
              <c:f>MAcc!$Q$24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MAcc!$Q$25:$Q$38</c:f>
              <c:numCache>
                <c:formatCode>0.00%</c:formatCode>
                <c:ptCount val="14"/>
                <c:pt idx="0">
                  <c:v>0.1053</c:v>
                </c:pt>
                <c:pt idx="1">
                  <c:v>0.15129999999999999</c:v>
                </c:pt>
                <c:pt idx="2">
                  <c:v>0.2039</c:v>
                </c:pt>
                <c:pt idx="3">
                  <c:v>0.36180000000000001</c:v>
                </c:pt>
                <c:pt idx="4">
                  <c:v>0.38819999999999999</c:v>
                </c:pt>
                <c:pt idx="5">
                  <c:v>0.54610000000000003</c:v>
                </c:pt>
                <c:pt idx="6">
                  <c:v>0.68420000000000003</c:v>
                </c:pt>
                <c:pt idx="7">
                  <c:v>0.94740000000000002</c:v>
                </c:pt>
                <c:pt idx="8">
                  <c:v>0.96709999999999996</c:v>
                </c:pt>
                <c:pt idx="9">
                  <c:v>0.98029999999999995</c:v>
                </c:pt>
                <c:pt idx="10">
                  <c:v>0.98680000000000001</c:v>
                </c:pt>
                <c:pt idx="11">
                  <c:v>0.98680000000000001</c:v>
                </c:pt>
                <c:pt idx="12">
                  <c:v>0.98680000000000001</c:v>
                </c:pt>
                <c:pt idx="13">
                  <c:v>0.98680000000000001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B5A2-4DB8-8FD8-A7D7AC71B95A}"/>
            </c:ext>
          </c:extLst>
        </c:ser>
        <c:ser>
          <c:idx val="4"/>
          <c:order val="3"/>
          <c:tx>
            <c:strRef>
              <c:f>MAcc!$R$24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MAcc!$R$25:$R$38</c:f>
              <c:numCache>
                <c:formatCode>0.00%</c:formatCode>
                <c:ptCount val="14"/>
                <c:pt idx="0">
                  <c:v>0.20130000000000001</c:v>
                </c:pt>
                <c:pt idx="1">
                  <c:v>0.38990000000000002</c:v>
                </c:pt>
                <c:pt idx="2">
                  <c:v>0.42770000000000002</c:v>
                </c:pt>
                <c:pt idx="3">
                  <c:v>0.44650000000000001</c:v>
                </c:pt>
                <c:pt idx="4">
                  <c:v>0.47170000000000001</c:v>
                </c:pt>
                <c:pt idx="5">
                  <c:v>0.49059999999999998</c:v>
                </c:pt>
                <c:pt idx="6">
                  <c:v>0.71699999999999997</c:v>
                </c:pt>
                <c:pt idx="7">
                  <c:v>0.93710000000000004</c:v>
                </c:pt>
                <c:pt idx="8">
                  <c:v>0.9748</c:v>
                </c:pt>
                <c:pt idx="9">
                  <c:v>0.98109999999999997</c:v>
                </c:pt>
                <c:pt idx="10">
                  <c:v>0.99370000000000003</c:v>
                </c:pt>
                <c:pt idx="11">
                  <c:v>0.99370000000000003</c:v>
                </c:pt>
                <c:pt idx="12">
                  <c:v>0.99370000000000003</c:v>
                </c:pt>
                <c:pt idx="13">
                  <c:v>0.99370000000000003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B5A2-4DB8-8FD8-A7D7AC71B95A}"/>
            </c:ext>
          </c:extLst>
        </c:ser>
        <c:ser>
          <c:idx val="5"/>
          <c:order val="4"/>
          <c:tx>
            <c:strRef>
              <c:f>MAcc!$S$24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MAcc!$S$25:$S$38</c:f>
              <c:numCache>
                <c:formatCode>0.00%</c:formatCode>
                <c:ptCount val="14"/>
                <c:pt idx="0">
                  <c:v>0.2797</c:v>
                </c:pt>
                <c:pt idx="1">
                  <c:v>0.30769999999999997</c:v>
                </c:pt>
                <c:pt idx="2">
                  <c:v>0.37059999999999998</c:v>
                </c:pt>
                <c:pt idx="3">
                  <c:v>0.47549999999999998</c:v>
                </c:pt>
                <c:pt idx="4">
                  <c:v>0.48949999999999999</c:v>
                </c:pt>
                <c:pt idx="5">
                  <c:v>0.51749999999999996</c:v>
                </c:pt>
                <c:pt idx="6">
                  <c:v>0.6573</c:v>
                </c:pt>
                <c:pt idx="7">
                  <c:v>0.93010000000000004</c:v>
                </c:pt>
                <c:pt idx="8">
                  <c:v>0.98599999999999999</c:v>
                </c:pt>
                <c:pt idx="9">
                  <c:v>0.99299999999999999</c:v>
                </c:pt>
                <c:pt idx="10">
                  <c:v>0.99299999999999999</c:v>
                </c:pt>
                <c:pt idx="11">
                  <c:v>0.99299999999999999</c:v>
                </c:pt>
                <c:pt idx="12">
                  <c:v>0.99299999999999999</c:v>
                </c:pt>
                <c:pt idx="13">
                  <c:v>0.99299999999999999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B5A2-4DB8-8FD8-A7D7AC71B95A}"/>
            </c:ext>
          </c:extLst>
        </c:ser>
        <c:ser>
          <c:idx val="0"/>
          <c:order val="5"/>
          <c:tx>
            <c:strRef>
              <c:f>MAcc!$N$24</c:f>
              <c:strCache>
                <c:ptCount val="1"/>
                <c:pt idx="0">
                  <c:v>2026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MAcc!$M$25:$M$38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MAcc!$N$25:$N$38</c:f>
              <c:numCache>
                <c:formatCode>0.00%</c:formatCode>
                <c:ptCount val="14"/>
                <c:pt idx="2">
                  <c:v>0.42009999999999997</c:v>
                </c:pt>
                <c:pt idx="3">
                  <c:v>0.4541</c:v>
                </c:pt>
                <c:pt idx="4">
                  <c:v>0.46539999999999998</c:v>
                </c:pt>
                <c:pt idx="5">
                  <c:v>0.78300000000000003</c:v>
                </c:pt>
                <c:pt idx="6">
                  <c:v>0.86380000000000001</c:v>
                </c:pt>
                <c:pt idx="7">
                  <c:v>0.91469999999999996</c:v>
                </c:pt>
                <c:pt idx="8">
                  <c:v>0.96619999999999995</c:v>
                </c:pt>
                <c:pt idx="9">
                  <c:v>0.98069999999999991</c:v>
                </c:pt>
                <c:pt idx="10">
                  <c:v>0.99029999999999996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5A2-4DB8-8FD8-A7D7AC71B9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Placement</a:t>
            </a:r>
            <a:r>
              <a:rPr lang="en-US" baseline="0"/>
              <a:t> %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NittyGrittySheet!$A$211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NittyGrittySheet!$B$210:$AL$210</c:f>
              <c:strCache>
                <c:ptCount val="37"/>
                <c:pt idx="0">
                  <c:v>10/13/2025</c:v>
                </c:pt>
                <c:pt idx="1">
                  <c:v>10/17/2025</c:v>
                </c:pt>
                <c:pt idx="2">
                  <c:v>10/24/2025</c:v>
                </c:pt>
                <c:pt idx="3">
                  <c:v>10/31/2025</c:v>
                </c:pt>
                <c:pt idx="4">
                  <c:v>11/7/2025</c:v>
                </c:pt>
                <c:pt idx="5">
                  <c:v>11/14/2025</c:v>
                </c:pt>
                <c:pt idx="6">
                  <c:v>11/21/2025</c:v>
                </c:pt>
                <c:pt idx="7">
                  <c:v>11/28/2025</c:v>
                </c:pt>
                <c:pt idx="8">
                  <c:v>12/5/2025</c:v>
                </c:pt>
                <c:pt idx="9">
                  <c:v>12/12/2025</c:v>
                </c:pt>
                <c:pt idx="10">
                  <c:v>12/19/2025</c:v>
                </c:pt>
                <c:pt idx="11">
                  <c:v>12/26/2025</c:v>
                </c:pt>
                <c:pt idx="12">
                  <c:v>1/2/2026</c:v>
                </c:pt>
                <c:pt idx="13">
                  <c:v>1/9/2026</c:v>
                </c:pt>
                <c:pt idx="14">
                  <c:v>1/16/2026</c:v>
                </c:pt>
                <c:pt idx="15">
                  <c:v>1/23/2026</c:v>
                </c:pt>
                <c:pt idx="16">
                  <c:v>1/30/2026</c:v>
                </c:pt>
                <c:pt idx="17">
                  <c:v>2/6/2026</c:v>
                </c:pt>
                <c:pt idx="18">
                  <c:v>2/13/2026</c:v>
                </c:pt>
                <c:pt idx="19">
                  <c:v>2/20/2026</c:v>
                </c:pt>
                <c:pt idx="20">
                  <c:v>2/27/2026</c:v>
                </c:pt>
                <c:pt idx="21">
                  <c:v>3/13/2026</c:v>
                </c:pt>
                <c:pt idx="22">
                  <c:v>3/20/2026</c:v>
                </c:pt>
                <c:pt idx="23">
                  <c:v>3/27/2026</c:v>
                </c:pt>
                <c:pt idx="24">
                  <c:v>4/3/2026</c:v>
                </c:pt>
                <c:pt idx="25">
                  <c:v>4/10/2026</c:v>
                </c:pt>
                <c:pt idx="26">
                  <c:v>4/17/2026</c:v>
                </c:pt>
                <c:pt idx="27">
                  <c:v>4/24/2026</c:v>
                </c:pt>
                <c:pt idx="28">
                  <c:v>5/1/2026</c:v>
                </c:pt>
                <c:pt idx="29">
                  <c:v>5/8/2026</c:v>
                </c:pt>
                <c:pt idx="30">
                  <c:v>5/15/2026</c:v>
                </c:pt>
                <c:pt idx="31">
                  <c:v>5/22/2026</c:v>
                </c:pt>
                <c:pt idx="32">
                  <c:v>05/29/2026</c:v>
                </c:pt>
                <c:pt idx="33">
                  <c:v>6/5/2026</c:v>
                </c:pt>
                <c:pt idx="34">
                  <c:v>6/12/2026</c:v>
                </c:pt>
                <c:pt idx="35">
                  <c:v>6/19/2026</c:v>
                </c:pt>
                <c:pt idx="36">
                  <c:v>6/26/2026</c:v>
                </c:pt>
              </c:strCache>
            </c:strRef>
          </c:cat>
          <c:val>
            <c:numRef>
              <c:f>NittyGrittySheet!$B$211:$AL$211</c:f>
              <c:numCache>
                <c:formatCode>0.00%</c:formatCode>
                <c:ptCount val="37"/>
                <c:pt idx="0">
                  <c:v>0.23530000000000001</c:v>
                </c:pt>
                <c:pt idx="1">
                  <c:v>0.2364</c:v>
                </c:pt>
                <c:pt idx="2">
                  <c:v>0.32269999999999999</c:v>
                </c:pt>
                <c:pt idx="3">
                  <c:v>0.42009999999999997</c:v>
                </c:pt>
                <c:pt idx="4">
                  <c:v>0.43120000000000003</c:v>
                </c:pt>
                <c:pt idx="5">
                  <c:v>0.43120000000000003</c:v>
                </c:pt>
                <c:pt idx="6">
                  <c:v>0.4541</c:v>
                </c:pt>
                <c:pt idx="7">
                  <c:v>0.4541</c:v>
                </c:pt>
                <c:pt idx="8">
                  <c:v>0.46079999999999999</c:v>
                </c:pt>
                <c:pt idx="9">
                  <c:v>0.46539999999999998</c:v>
                </c:pt>
                <c:pt idx="10">
                  <c:v>0.46539999999999998</c:v>
                </c:pt>
                <c:pt idx="11">
                  <c:v>0.46539999999999998</c:v>
                </c:pt>
                <c:pt idx="12">
                  <c:v>0.51139999999999997</c:v>
                </c:pt>
                <c:pt idx="13">
                  <c:v>0.60550000000000004</c:v>
                </c:pt>
                <c:pt idx="14">
                  <c:v>0.62209999999999999</c:v>
                </c:pt>
                <c:pt idx="15">
                  <c:v>0.73709999999999998</c:v>
                </c:pt>
                <c:pt idx="16">
                  <c:v>0.77829999999999999</c:v>
                </c:pt>
                <c:pt idx="17">
                  <c:v>0.79249999999999998</c:v>
                </c:pt>
                <c:pt idx="18">
                  <c:v>0.83330000000000004</c:v>
                </c:pt>
                <c:pt idx="19">
                  <c:v>0.86729999999999996</c:v>
                </c:pt>
                <c:pt idx="20">
                  <c:v>0.86380000000000001</c:v>
                </c:pt>
                <c:pt idx="21">
                  <c:v>0.8962</c:v>
                </c:pt>
                <c:pt idx="22">
                  <c:v>0.89570000000000005</c:v>
                </c:pt>
                <c:pt idx="23">
                  <c:v>0.9143</c:v>
                </c:pt>
                <c:pt idx="24">
                  <c:v>0.92379999999999995</c:v>
                </c:pt>
                <c:pt idx="25">
                  <c:v>0.93779999999999997</c:v>
                </c:pt>
                <c:pt idx="26">
                  <c:v>0.95650000000000002</c:v>
                </c:pt>
                <c:pt idx="27">
                  <c:v>0.96140000000000003</c:v>
                </c:pt>
                <c:pt idx="28">
                  <c:v>0.96619999999999995</c:v>
                </c:pt>
                <c:pt idx="29">
                  <c:v>0.97099999999999997</c:v>
                </c:pt>
                <c:pt idx="30">
                  <c:v>0.97099999999999997</c:v>
                </c:pt>
                <c:pt idx="31">
                  <c:v>0.98069999999999991</c:v>
                </c:pt>
                <c:pt idx="32">
                  <c:v>0.98069999999999991</c:v>
                </c:pt>
                <c:pt idx="33">
                  <c:v>0.98069999999999991</c:v>
                </c:pt>
                <c:pt idx="34">
                  <c:v>0.98069999999999991</c:v>
                </c:pt>
                <c:pt idx="35">
                  <c:v>0.99029999999999996</c:v>
                </c:pt>
                <c:pt idx="36">
                  <c:v>0.99029999999999996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C8-4950-AFAF-339F5CDF6F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</a:t>
                </a:r>
                <a:r>
                  <a:rPr lang="en-US" baseline="0"/>
                  <a:t> Seeking Studnets Placed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Search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NittyGrittySheet!$A$214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NittyGrittySheet!$B$213:$AL$213</c:f>
              <c:strCache>
                <c:ptCount val="37"/>
                <c:pt idx="0">
                  <c:v>10/13/2025</c:v>
                </c:pt>
                <c:pt idx="1">
                  <c:v>10/17/2025</c:v>
                </c:pt>
                <c:pt idx="2">
                  <c:v>10/24/2025</c:v>
                </c:pt>
                <c:pt idx="3">
                  <c:v>10/31/2025</c:v>
                </c:pt>
                <c:pt idx="4">
                  <c:v>11/7/2025</c:v>
                </c:pt>
                <c:pt idx="5">
                  <c:v>11/14/2025</c:v>
                </c:pt>
                <c:pt idx="6">
                  <c:v>11/21/2025</c:v>
                </c:pt>
                <c:pt idx="7">
                  <c:v>11/28/2025</c:v>
                </c:pt>
                <c:pt idx="8">
                  <c:v>12/5/2025</c:v>
                </c:pt>
                <c:pt idx="9">
                  <c:v>12/12/2025</c:v>
                </c:pt>
                <c:pt idx="10">
                  <c:v>12/19/2025</c:v>
                </c:pt>
                <c:pt idx="11">
                  <c:v>12/26/2025</c:v>
                </c:pt>
                <c:pt idx="12">
                  <c:v>1/2/2026</c:v>
                </c:pt>
                <c:pt idx="13">
                  <c:v>1/9/2026</c:v>
                </c:pt>
                <c:pt idx="14">
                  <c:v>1/16/2026</c:v>
                </c:pt>
                <c:pt idx="15">
                  <c:v>1/23/2026</c:v>
                </c:pt>
                <c:pt idx="16">
                  <c:v>1/30/2026</c:v>
                </c:pt>
                <c:pt idx="17">
                  <c:v>2/6/2026</c:v>
                </c:pt>
                <c:pt idx="18">
                  <c:v>2/13/2026</c:v>
                </c:pt>
                <c:pt idx="19">
                  <c:v>2/20/2026</c:v>
                </c:pt>
                <c:pt idx="20">
                  <c:v>2/27/2026</c:v>
                </c:pt>
                <c:pt idx="21">
                  <c:v>3/13/2026</c:v>
                </c:pt>
                <c:pt idx="22">
                  <c:v>3/20/2026</c:v>
                </c:pt>
                <c:pt idx="23">
                  <c:v>3/27/2026</c:v>
                </c:pt>
                <c:pt idx="24">
                  <c:v>4/3/2026</c:v>
                </c:pt>
                <c:pt idx="25">
                  <c:v>4/10/2026</c:v>
                </c:pt>
                <c:pt idx="26">
                  <c:v>4/17/2026</c:v>
                </c:pt>
                <c:pt idx="27">
                  <c:v>4/24/2026</c:v>
                </c:pt>
                <c:pt idx="28">
                  <c:v>5/1/2026</c:v>
                </c:pt>
                <c:pt idx="29">
                  <c:v>5/8/2026</c:v>
                </c:pt>
                <c:pt idx="30">
                  <c:v>5/15/2026</c:v>
                </c:pt>
                <c:pt idx="31">
                  <c:v>5/22/2026</c:v>
                </c:pt>
                <c:pt idx="32">
                  <c:v>05/29/2026</c:v>
                </c:pt>
                <c:pt idx="33">
                  <c:v>6/5/2026</c:v>
                </c:pt>
                <c:pt idx="34">
                  <c:v>6/12/2026</c:v>
                </c:pt>
                <c:pt idx="35">
                  <c:v>6/19/2026</c:v>
                </c:pt>
                <c:pt idx="36">
                  <c:v>6/26/2026</c:v>
                </c:pt>
              </c:strCache>
            </c:strRef>
          </c:cat>
          <c:val>
            <c:numRef>
              <c:f>NittyGrittySheet!$B$214:$AL$214</c:f>
              <c:numCache>
                <c:formatCode>General</c:formatCode>
                <c:ptCount val="37"/>
                <c:pt idx="0">
                  <c:v>52</c:v>
                </c:pt>
                <c:pt idx="1">
                  <c:v>52</c:v>
                </c:pt>
                <c:pt idx="2">
                  <c:v>71</c:v>
                </c:pt>
                <c:pt idx="3">
                  <c:v>92</c:v>
                </c:pt>
                <c:pt idx="4">
                  <c:v>94</c:v>
                </c:pt>
                <c:pt idx="5">
                  <c:v>94</c:v>
                </c:pt>
                <c:pt idx="6">
                  <c:v>99</c:v>
                </c:pt>
                <c:pt idx="7">
                  <c:v>99</c:v>
                </c:pt>
                <c:pt idx="8">
                  <c:v>100</c:v>
                </c:pt>
                <c:pt idx="9">
                  <c:v>101</c:v>
                </c:pt>
                <c:pt idx="10">
                  <c:v>101</c:v>
                </c:pt>
                <c:pt idx="11">
                  <c:v>101</c:v>
                </c:pt>
                <c:pt idx="12">
                  <c:v>112</c:v>
                </c:pt>
                <c:pt idx="13">
                  <c:v>132</c:v>
                </c:pt>
                <c:pt idx="14">
                  <c:v>135</c:v>
                </c:pt>
                <c:pt idx="15">
                  <c:v>157</c:v>
                </c:pt>
                <c:pt idx="16">
                  <c:v>165</c:v>
                </c:pt>
                <c:pt idx="17">
                  <c:v>168</c:v>
                </c:pt>
                <c:pt idx="18">
                  <c:v>175</c:v>
                </c:pt>
                <c:pt idx="19">
                  <c:v>183</c:v>
                </c:pt>
                <c:pt idx="20">
                  <c:v>184</c:v>
                </c:pt>
                <c:pt idx="21">
                  <c:v>190</c:v>
                </c:pt>
                <c:pt idx="22">
                  <c:v>189</c:v>
                </c:pt>
                <c:pt idx="23">
                  <c:v>192</c:v>
                </c:pt>
                <c:pt idx="24">
                  <c:v>194</c:v>
                </c:pt>
                <c:pt idx="25">
                  <c:v>196</c:v>
                </c:pt>
                <c:pt idx="26">
                  <c:v>198</c:v>
                </c:pt>
                <c:pt idx="27">
                  <c:v>199</c:v>
                </c:pt>
                <c:pt idx="28">
                  <c:v>200</c:v>
                </c:pt>
                <c:pt idx="29">
                  <c:v>201</c:v>
                </c:pt>
                <c:pt idx="30">
                  <c:v>201</c:v>
                </c:pt>
                <c:pt idx="31">
                  <c:v>203</c:v>
                </c:pt>
                <c:pt idx="32">
                  <c:v>203</c:v>
                </c:pt>
                <c:pt idx="33">
                  <c:v>203</c:v>
                </c:pt>
                <c:pt idx="34">
                  <c:v>203</c:v>
                </c:pt>
                <c:pt idx="35">
                  <c:v>205</c:v>
                </c:pt>
                <c:pt idx="36">
                  <c:v>204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29-44F6-ADA4-33F70E0B3110}"/>
            </c:ext>
          </c:extLst>
        </c:ser>
        <c:ser>
          <c:idx val="1"/>
          <c:order val="1"/>
          <c:tx>
            <c:strRef>
              <c:f>NittyGrittySheet!$A$215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NittyGrittySheet!$B$213:$AL$213</c:f>
              <c:strCache>
                <c:ptCount val="37"/>
                <c:pt idx="0">
                  <c:v>10/13/2025</c:v>
                </c:pt>
                <c:pt idx="1">
                  <c:v>10/17/2025</c:v>
                </c:pt>
                <c:pt idx="2">
                  <c:v>10/24/2025</c:v>
                </c:pt>
                <c:pt idx="3">
                  <c:v>10/31/2025</c:v>
                </c:pt>
                <c:pt idx="4">
                  <c:v>11/7/2025</c:v>
                </c:pt>
                <c:pt idx="5">
                  <c:v>11/14/2025</c:v>
                </c:pt>
                <c:pt idx="6">
                  <c:v>11/21/2025</c:v>
                </c:pt>
                <c:pt idx="7">
                  <c:v>11/28/2025</c:v>
                </c:pt>
                <c:pt idx="8">
                  <c:v>12/5/2025</c:v>
                </c:pt>
                <c:pt idx="9">
                  <c:v>12/12/2025</c:v>
                </c:pt>
                <c:pt idx="10">
                  <c:v>12/19/2025</c:v>
                </c:pt>
                <c:pt idx="11">
                  <c:v>12/26/2025</c:v>
                </c:pt>
                <c:pt idx="12">
                  <c:v>1/2/2026</c:v>
                </c:pt>
                <c:pt idx="13">
                  <c:v>1/9/2026</c:v>
                </c:pt>
                <c:pt idx="14">
                  <c:v>1/16/2026</c:v>
                </c:pt>
                <c:pt idx="15">
                  <c:v>1/23/2026</c:v>
                </c:pt>
                <c:pt idx="16">
                  <c:v>1/30/2026</c:v>
                </c:pt>
                <c:pt idx="17">
                  <c:v>2/6/2026</c:v>
                </c:pt>
                <c:pt idx="18">
                  <c:v>2/13/2026</c:v>
                </c:pt>
                <c:pt idx="19">
                  <c:v>2/20/2026</c:v>
                </c:pt>
                <c:pt idx="20">
                  <c:v>2/27/2026</c:v>
                </c:pt>
                <c:pt idx="21">
                  <c:v>3/13/2026</c:v>
                </c:pt>
                <c:pt idx="22">
                  <c:v>3/20/2026</c:v>
                </c:pt>
                <c:pt idx="23">
                  <c:v>3/27/2026</c:v>
                </c:pt>
                <c:pt idx="24">
                  <c:v>4/3/2026</c:v>
                </c:pt>
                <c:pt idx="25">
                  <c:v>4/10/2026</c:v>
                </c:pt>
                <c:pt idx="26">
                  <c:v>4/17/2026</c:v>
                </c:pt>
                <c:pt idx="27">
                  <c:v>4/24/2026</c:v>
                </c:pt>
                <c:pt idx="28">
                  <c:v>5/1/2026</c:v>
                </c:pt>
                <c:pt idx="29">
                  <c:v>5/8/2026</c:v>
                </c:pt>
                <c:pt idx="30">
                  <c:v>5/15/2026</c:v>
                </c:pt>
                <c:pt idx="31">
                  <c:v>5/22/2026</c:v>
                </c:pt>
                <c:pt idx="32">
                  <c:v>05/29/2026</c:v>
                </c:pt>
                <c:pt idx="33">
                  <c:v>6/5/2026</c:v>
                </c:pt>
                <c:pt idx="34">
                  <c:v>6/12/2026</c:v>
                </c:pt>
                <c:pt idx="35">
                  <c:v>6/19/2026</c:v>
                </c:pt>
                <c:pt idx="36">
                  <c:v>6/26/2026</c:v>
                </c:pt>
              </c:strCache>
            </c:strRef>
          </c:cat>
          <c:val>
            <c:numRef>
              <c:f>NittyGrittySheet!$B$215:$AL$215</c:f>
              <c:numCache>
                <c:formatCode>General</c:formatCode>
                <c:ptCount val="37"/>
                <c:pt idx="0">
                  <c:v>40</c:v>
                </c:pt>
                <c:pt idx="1">
                  <c:v>40</c:v>
                </c:pt>
                <c:pt idx="2">
                  <c:v>33</c:v>
                </c:pt>
                <c:pt idx="3">
                  <c:v>30</c:v>
                </c:pt>
                <c:pt idx="4">
                  <c:v>34</c:v>
                </c:pt>
                <c:pt idx="5">
                  <c:v>34</c:v>
                </c:pt>
                <c:pt idx="6">
                  <c:v>31</c:v>
                </c:pt>
                <c:pt idx="7">
                  <c:v>31</c:v>
                </c:pt>
                <c:pt idx="8">
                  <c:v>30</c:v>
                </c:pt>
                <c:pt idx="9">
                  <c:v>29</c:v>
                </c:pt>
                <c:pt idx="10">
                  <c:v>29</c:v>
                </c:pt>
                <c:pt idx="11">
                  <c:v>29</c:v>
                </c:pt>
                <c:pt idx="12">
                  <c:v>25</c:v>
                </c:pt>
                <c:pt idx="13">
                  <c:v>21</c:v>
                </c:pt>
                <c:pt idx="14">
                  <c:v>20</c:v>
                </c:pt>
                <c:pt idx="15">
                  <c:v>17</c:v>
                </c:pt>
                <c:pt idx="16">
                  <c:v>17</c:v>
                </c:pt>
                <c:pt idx="17">
                  <c:v>17</c:v>
                </c:pt>
                <c:pt idx="18">
                  <c:v>14</c:v>
                </c:pt>
                <c:pt idx="19">
                  <c:v>15</c:v>
                </c:pt>
                <c:pt idx="20">
                  <c:v>18</c:v>
                </c:pt>
                <c:pt idx="21">
                  <c:v>16</c:v>
                </c:pt>
                <c:pt idx="22">
                  <c:v>16</c:v>
                </c:pt>
                <c:pt idx="23">
                  <c:v>16</c:v>
                </c:pt>
                <c:pt idx="24">
                  <c:v>13</c:v>
                </c:pt>
                <c:pt idx="25">
                  <c:v>12</c:v>
                </c:pt>
                <c:pt idx="26">
                  <c:v>9</c:v>
                </c:pt>
                <c:pt idx="27">
                  <c:v>8</c:v>
                </c:pt>
                <c:pt idx="28">
                  <c:v>7</c:v>
                </c:pt>
                <c:pt idx="29">
                  <c:v>6</c:v>
                </c:pt>
                <c:pt idx="30">
                  <c:v>6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4</c:v>
                </c:pt>
                <c:pt idx="35">
                  <c:v>2</c:v>
                </c:pt>
                <c:pt idx="3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29-44F6-ADA4-33F70E0B3110}"/>
            </c:ext>
          </c:extLst>
        </c:ser>
        <c:ser>
          <c:idx val="3"/>
          <c:order val="3"/>
          <c:tx>
            <c:strRef>
              <c:f>NittyGrittySheet!$A$217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NittyGrittySheet!$B$213:$AL$213</c:f>
              <c:strCache>
                <c:ptCount val="37"/>
                <c:pt idx="0">
                  <c:v>10/13/2025</c:v>
                </c:pt>
                <c:pt idx="1">
                  <c:v>10/17/2025</c:v>
                </c:pt>
                <c:pt idx="2">
                  <c:v>10/24/2025</c:v>
                </c:pt>
                <c:pt idx="3">
                  <c:v>10/31/2025</c:v>
                </c:pt>
                <c:pt idx="4">
                  <c:v>11/7/2025</c:v>
                </c:pt>
                <c:pt idx="5">
                  <c:v>11/14/2025</c:v>
                </c:pt>
                <c:pt idx="6">
                  <c:v>11/21/2025</c:v>
                </c:pt>
                <c:pt idx="7">
                  <c:v>11/28/2025</c:v>
                </c:pt>
                <c:pt idx="8">
                  <c:v>12/5/2025</c:v>
                </c:pt>
                <c:pt idx="9">
                  <c:v>12/12/2025</c:v>
                </c:pt>
                <c:pt idx="10">
                  <c:v>12/19/2025</c:v>
                </c:pt>
                <c:pt idx="11">
                  <c:v>12/26/2025</c:v>
                </c:pt>
                <c:pt idx="12">
                  <c:v>1/2/2026</c:v>
                </c:pt>
                <c:pt idx="13">
                  <c:v>1/9/2026</c:v>
                </c:pt>
                <c:pt idx="14">
                  <c:v>1/16/2026</c:v>
                </c:pt>
                <c:pt idx="15">
                  <c:v>1/23/2026</c:v>
                </c:pt>
                <c:pt idx="16">
                  <c:v>1/30/2026</c:v>
                </c:pt>
                <c:pt idx="17">
                  <c:v>2/6/2026</c:v>
                </c:pt>
                <c:pt idx="18">
                  <c:v>2/13/2026</c:v>
                </c:pt>
                <c:pt idx="19">
                  <c:v>2/20/2026</c:v>
                </c:pt>
                <c:pt idx="20">
                  <c:v>2/27/2026</c:v>
                </c:pt>
                <c:pt idx="21">
                  <c:v>3/13/2026</c:v>
                </c:pt>
                <c:pt idx="22">
                  <c:v>3/20/2026</c:v>
                </c:pt>
                <c:pt idx="23">
                  <c:v>3/27/2026</c:v>
                </c:pt>
                <c:pt idx="24">
                  <c:v>4/3/2026</c:v>
                </c:pt>
                <c:pt idx="25">
                  <c:v>4/10/2026</c:v>
                </c:pt>
                <c:pt idx="26">
                  <c:v>4/17/2026</c:v>
                </c:pt>
                <c:pt idx="27">
                  <c:v>4/24/2026</c:v>
                </c:pt>
                <c:pt idx="28">
                  <c:v>5/1/2026</c:v>
                </c:pt>
                <c:pt idx="29">
                  <c:v>5/8/2026</c:v>
                </c:pt>
                <c:pt idx="30">
                  <c:v>5/15/2026</c:v>
                </c:pt>
                <c:pt idx="31">
                  <c:v>5/22/2026</c:v>
                </c:pt>
                <c:pt idx="32">
                  <c:v>05/29/2026</c:v>
                </c:pt>
                <c:pt idx="33">
                  <c:v>6/5/2026</c:v>
                </c:pt>
                <c:pt idx="34">
                  <c:v>6/12/2026</c:v>
                </c:pt>
                <c:pt idx="35">
                  <c:v>6/19/2026</c:v>
                </c:pt>
                <c:pt idx="36">
                  <c:v>6/26/2026</c:v>
                </c:pt>
              </c:strCache>
            </c:strRef>
          </c:cat>
          <c:val>
            <c:numRef>
              <c:f>NittyGrittySheet!$B$217:$AL$217</c:f>
              <c:numCache>
                <c:formatCode>General</c:formatCode>
                <c:ptCount val="37"/>
                <c:pt idx="0">
                  <c:v>129</c:v>
                </c:pt>
                <c:pt idx="1">
                  <c:v>128</c:v>
                </c:pt>
                <c:pt idx="2">
                  <c:v>116</c:v>
                </c:pt>
                <c:pt idx="3">
                  <c:v>97</c:v>
                </c:pt>
                <c:pt idx="4">
                  <c:v>90</c:v>
                </c:pt>
                <c:pt idx="5">
                  <c:v>90</c:v>
                </c:pt>
                <c:pt idx="6">
                  <c:v>88</c:v>
                </c:pt>
                <c:pt idx="7">
                  <c:v>88</c:v>
                </c:pt>
                <c:pt idx="8">
                  <c:v>87</c:v>
                </c:pt>
                <c:pt idx="9">
                  <c:v>87</c:v>
                </c:pt>
                <c:pt idx="10">
                  <c:v>87</c:v>
                </c:pt>
                <c:pt idx="11">
                  <c:v>87</c:v>
                </c:pt>
                <c:pt idx="12">
                  <c:v>82</c:v>
                </c:pt>
                <c:pt idx="13">
                  <c:v>65</c:v>
                </c:pt>
                <c:pt idx="14">
                  <c:v>62</c:v>
                </c:pt>
                <c:pt idx="15">
                  <c:v>39</c:v>
                </c:pt>
                <c:pt idx="16">
                  <c:v>30</c:v>
                </c:pt>
                <c:pt idx="17">
                  <c:v>27</c:v>
                </c:pt>
                <c:pt idx="18">
                  <c:v>21</c:v>
                </c:pt>
                <c:pt idx="19">
                  <c:v>13</c:v>
                </c:pt>
                <c:pt idx="20">
                  <c:v>11</c:v>
                </c:pt>
                <c:pt idx="21">
                  <c:v>6</c:v>
                </c:pt>
                <c:pt idx="22">
                  <c:v>6</c:v>
                </c:pt>
                <c:pt idx="23">
                  <c:v>2</c:v>
                </c:pt>
                <c:pt idx="24">
                  <c:v>3</c:v>
                </c:pt>
                <c:pt idx="25">
                  <c:v>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A29-44F6-ADA4-33F70E0B31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NittyGrittySheet!$A$216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NittyGrittySheet!$B$213:$AL$213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NittyGrittySheet!$B$216:$AL$216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7A29-44F6-ADA4-33F70E0B3110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NittyGrittySheet!$A$218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NittyGrittySheet!$B$213:$AL$213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NittyGrittySheet!$B$218:$AL$218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3</c:v>
                      </c:pt>
                      <c:pt idx="1">
                        <c:v>3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3</c:v>
                      </c:pt>
                      <c:pt idx="8">
                        <c:v>4</c:v>
                      </c:pt>
                      <c:pt idx="9">
                        <c:v>4</c:v>
                      </c:pt>
                      <c:pt idx="10">
                        <c:v>4</c:v>
                      </c:pt>
                      <c:pt idx="11">
                        <c:v>4</c:v>
                      </c:pt>
                      <c:pt idx="12">
                        <c:v>4</c:v>
                      </c:pt>
                      <c:pt idx="13">
                        <c:v>4</c:v>
                      </c:pt>
                      <c:pt idx="14">
                        <c:v>4</c:v>
                      </c:pt>
                      <c:pt idx="15">
                        <c:v>7</c:v>
                      </c:pt>
                      <c:pt idx="16">
                        <c:v>7</c:v>
                      </c:pt>
                      <c:pt idx="17">
                        <c:v>7</c:v>
                      </c:pt>
                      <c:pt idx="18">
                        <c:v>8</c:v>
                      </c:pt>
                      <c:pt idx="19">
                        <c:v>8</c:v>
                      </c:pt>
                      <c:pt idx="20">
                        <c:v>7</c:v>
                      </c:pt>
                      <c:pt idx="21">
                        <c:v>7</c:v>
                      </c:pt>
                      <c:pt idx="22">
                        <c:v>7</c:v>
                      </c:pt>
                      <c:pt idx="23">
                        <c:v>8</c:v>
                      </c:pt>
                      <c:pt idx="24">
                        <c:v>9</c:v>
                      </c:pt>
                      <c:pt idx="25">
                        <c:v>9</c:v>
                      </c:pt>
                      <c:pt idx="26">
                        <c:v>9</c:v>
                      </c:pt>
                      <c:pt idx="27">
                        <c:v>8</c:v>
                      </c:pt>
                      <c:pt idx="28">
                        <c:v>8</c:v>
                      </c:pt>
                      <c:pt idx="29">
                        <c:v>8</c:v>
                      </c:pt>
                      <c:pt idx="30">
                        <c:v>8</c:v>
                      </c:pt>
                      <c:pt idx="31">
                        <c:v>8</c:v>
                      </c:pt>
                      <c:pt idx="32">
                        <c:v>8</c:v>
                      </c:pt>
                      <c:pt idx="33">
                        <c:v>8</c:v>
                      </c:pt>
                      <c:pt idx="34">
                        <c:v>8</c:v>
                      </c:pt>
                      <c:pt idx="35">
                        <c:v>8</c:v>
                      </c:pt>
                      <c:pt idx="36">
                        <c:v>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A29-44F6-ADA4-33F70E0B3110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NittyGrittySheet!$A$219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NittyGrittySheet!$B$213:$AL$213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NittyGrittySheet!$B$219:$AL$219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A29-44F6-ADA4-33F70E0B3110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NittyGrittySheet!$A$220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NittyGrittySheet!$B$213:$AL$213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NittyGrittySheet!$B$220:$AL$220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2</c:v>
                      </c:pt>
                      <c:pt idx="27">
                        <c:v>2</c:v>
                      </c:pt>
                      <c:pt idx="28">
                        <c:v>2</c:v>
                      </c:pt>
                      <c:pt idx="29">
                        <c:v>2</c:v>
                      </c:pt>
                      <c:pt idx="30">
                        <c:v>2</c:v>
                      </c:pt>
                      <c:pt idx="31">
                        <c:v>2</c:v>
                      </c:pt>
                      <c:pt idx="32">
                        <c:v>2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7A29-44F6-ADA4-33F70E0B3110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NittyGrittySheet!$A$221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NittyGrittySheet!$B$213:$AL$213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NittyGrittySheet!$B$221:$AL$221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7A29-44F6-ADA4-33F70E0B3110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NittyGrittySheet!$A$222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NittyGrittySheet!$B$213:$AL$213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NittyGrittySheet!$B$222:$AL$222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7A29-44F6-ADA4-33F70E0B3110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NittyGrittySheet!$A$223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NittyGrittySheet!$B$213:$AL$213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NittyGrittySheet!$B$223:$AL$223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7A29-44F6-ADA4-33F70E0B3110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NittyGrittySheet!$A$224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NittyGrittySheet!$B$213:$AL$213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NittyGrittySheet!$B$224:$AL$224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226</c:v>
                      </c:pt>
                      <c:pt idx="1">
                        <c:v>225</c:v>
                      </c:pt>
                      <c:pt idx="2">
                        <c:v>225</c:v>
                      </c:pt>
                      <c:pt idx="3">
                        <c:v>224</c:v>
                      </c:pt>
                      <c:pt idx="4">
                        <c:v>223</c:v>
                      </c:pt>
                      <c:pt idx="5">
                        <c:v>223</c:v>
                      </c:pt>
                      <c:pt idx="6">
                        <c:v>223</c:v>
                      </c:pt>
                      <c:pt idx="7">
                        <c:v>223</c:v>
                      </c:pt>
                      <c:pt idx="8">
                        <c:v>223</c:v>
                      </c:pt>
                      <c:pt idx="9">
                        <c:v>223</c:v>
                      </c:pt>
                      <c:pt idx="10">
                        <c:v>223</c:v>
                      </c:pt>
                      <c:pt idx="11">
                        <c:v>223</c:v>
                      </c:pt>
                      <c:pt idx="12">
                        <c:v>225</c:v>
                      </c:pt>
                      <c:pt idx="13">
                        <c:v>224</c:v>
                      </c:pt>
                      <c:pt idx="14">
                        <c:v>224</c:v>
                      </c:pt>
                      <c:pt idx="15">
                        <c:v>224</c:v>
                      </c:pt>
                      <c:pt idx="16">
                        <c:v>223</c:v>
                      </c:pt>
                      <c:pt idx="17">
                        <c:v>223</c:v>
                      </c:pt>
                      <c:pt idx="18">
                        <c:v>222</c:v>
                      </c:pt>
                      <c:pt idx="19">
                        <c:v>222</c:v>
                      </c:pt>
                      <c:pt idx="20">
                        <c:v>223</c:v>
                      </c:pt>
                      <c:pt idx="21">
                        <c:v>222</c:v>
                      </c:pt>
                      <c:pt idx="22">
                        <c:v>221</c:v>
                      </c:pt>
                      <c:pt idx="23">
                        <c:v>221</c:v>
                      </c:pt>
                      <c:pt idx="24">
                        <c:v>222</c:v>
                      </c:pt>
                      <c:pt idx="25">
                        <c:v>221</c:v>
                      </c:pt>
                      <c:pt idx="26">
                        <c:v>221</c:v>
                      </c:pt>
                      <c:pt idx="27">
                        <c:v>220</c:v>
                      </c:pt>
                      <c:pt idx="28">
                        <c:v>220</c:v>
                      </c:pt>
                      <c:pt idx="29">
                        <c:v>220</c:v>
                      </c:pt>
                      <c:pt idx="30">
                        <c:v>220</c:v>
                      </c:pt>
                      <c:pt idx="31">
                        <c:v>220</c:v>
                      </c:pt>
                      <c:pt idx="32">
                        <c:v>220</c:v>
                      </c:pt>
                      <c:pt idx="33">
                        <c:v>220</c:v>
                      </c:pt>
                      <c:pt idx="34">
                        <c:v>220</c:v>
                      </c:pt>
                      <c:pt idx="35">
                        <c:v>220</c:v>
                      </c:pt>
                      <c:pt idx="36">
                        <c:v>219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7A29-44F6-ADA4-33F70E0B3110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% Placed 5 Year Summary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MBA!$O$24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MBA!$M$25:$M$38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MBA!$O$25:$O$38</c:f>
              <c:numCache>
                <c:formatCode>0.00%</c:formatCode>
                <c:ptCount val="14"/>
                <c:pt idx="0">
                  <c:v>5.7500000000000002E-2</c:v>
                </c:pt>
                <c:pt idx="1">
                  <c:v>0.10340000000000001</c:v>
                </c:pt>
                <c:pt idx="2">
                  <c:v>0.2414</c:v>
                </c:pt>
                <c:pt idx="3">
                  <c:v>0.31030000000000002</c:v>
                </c:pt>
                <c:pt idx="4">
                  <c:v>0.33329999999999999</c:v>
                </c:pt>
                <c:pt idx="5">
                  <c:v>0.42530000000000001</c:v>
                </c:pt>
                <c:pt idx="6">
                  <c:v>0.50570000000000004</c:v>
                </c:pt>
                <c:pt idx="7">
                  <c:v>0.54020000000000001</c:v>
                </c:pt>
                <c:pt idx="8">
                  <c:v>0.60919999999999996</c:v>
                </c:pt>
                <c:pt idx="9">
                  <c:v>0.70109999999999995</c:v>
                </c:pt>
                <c:pt idx="10">
                  <c:v>0.79310000000000003</c:v>
                </c:pt>
                <c:pt idx="11">
                  <c:v>0.8276</c:v>
                </c:pt>
                <c:pt idx="12">
                  <c:v>0.86209999999999998</c:v>
                </c:pt>
                <c:pt idx="13">
                  <c:v>0.87360000000000004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F7-41FC-B90A-CE4A60C289BD}"/>
            </c:ext>
          </c:extLst>
        </c:ser>
        <c:ser>
          <c:idx val="2"/>
          <c:order val="1"/>
          <c:tx>
            <c:strRef>
              <c:f>MBA!$P$24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MBA!$M$25:$M$38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MBA!$P$25:$P$38</c:f>
              <c:numCache>
                <c:formatCode>0.00%</c:formatCode>
                <c:ptCount val="14"/>
                <c:pt idx="0">
                  <c:v>5.33E-2</c:v>
                </c:pt>
                <c:pt idx="1">
                  <c:v>0.08</c:v>
                </c:pt>
                <c:pt idx="2">
                  <c:v>0.25330000000000003</c:v>
                </c:pt>
                <c:pt idx="3">
                  <c:v>0.36</c:v>
                </c:pt>
                <c:pt idx="4">
                  <c:v>0.49330000000000002</c:v>
                </c:pt>
                <c:pt idx="5">
                  <c:v>0.50670000000000004</c:v>
                </c:pt>
                <c:pt idx="6">
                  <c:v>0.5333</c:v>
                </c:pt>
                <c:pt idx="7">
                  <c:v>0.57330000000000003</c:v>
                </c:pt>
                <c:pt idx="8">
                  <c:v>0.68</c:v>
                </c:pt>
                <c:pt idx="9">
                  <c:v>0.73329999999999995</c:v>
                </c:pt>
                <c:pt idx="10">
                  <c:v>0.8</c:v>
                </c:pt>
                <c:pt idx="11">
                  <c:v>0.85329999999999995</c:v>
                </c:pt>
                <c:pt idx="12">
                  <c:v>0.88</c:v>
                </c:pt>
                <c:pt idx="13">
                  <c:v>0.88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3F7-41FC-B90A-CE4A60C289BD}"/>
            </c:ext>
          </c:extLst>
        </c:ser>
        <c:ser>
          <c:idx val="3"/>
          <c:order val="2"/>
          <c:tx>
            <c:strRef>
              <c:f>MBA!$Q$24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MBA!$M$25:$M$38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MBA!$Q$25:$Q$38</c:f>
              <c:numCache>
                <c:formatCode>0.00%</c:formatCode>
                <c:ptCount val="14"/>
                <c:pt idx="0">
                  <c:v>3.2300000000000002E-2</c:v>
                </c:pt>
                <c:pt idx="1">
                  <c:v>6.4500000000000002E-2</c:v>
                </c:pt>
                <c:pt idx="2">
                  <c:v>0.371</c:v>
                </c:pt>
                <c:pt idx="3">
                  <c:v>0.4758</c:v>
                </c:pt>
                <c:pt idx="4">
                  <c:v>0.4919</c:v>
                </c:pt>
                <c:pt idx="5">
                  <c:v>0.5161</c:v>
                </c:pt>
                <c:pt idx="6">
                  <c:v>0.5484</c:v>
                </c:pt>
                <c:pt idx="7">
                  <c:v>0.5887</c:v>
                </c:pt>
                <c:pt idx="8">
                  <c:v>0.7177</c:v>
                </c:pt>
                <c:pt idx="9">
                  <c:v>0.7903</c:v>
                </c:pt>
                <c:pt idx="10">
                  <c:v>0.8306</c:v>
                </c:pt>
                <c:pt idx="11">
                  <c:v>0.8871</c:v>
                </c:pt>
                <c:pt idx="12">
                  <c:v>0.9113</c:v>
                </c:pt>
                <c:pt idx="13">
                  <c:v>0.94350000000000001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3F7-41FC-B90A-CE4A60C289BD}"/>
            </c:ext>
          </c:extLst>
        </c:ser>
        <c:ser>
          <c:idx val="4"/>
          <c:order val="3"/>
          <c:tx>
            <c:strRef>
              <c:f>MBA!$R$24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MBA!$M$25:$M$38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MBA!$R$25:$R$38</c:f>
              <c:numCache>
                <c:formatCode>0.00%</c:formatCode>
                <c:ptCount val="14"/>
                <c:pt idx="0">
                  <c:v>5.8400000000000001E-2</c:v>
                </c:pt>
                <c:pt idx="1">
                  <c:v>0.2336</c:v>
                </c:pt>
                <c:pt idx="2">
                  <c:v>0.34310000000000002</c:v>
                </c:pt>
                <c:pt idx="3">
                  <c:v>0.48180000000000001</c:v>
                </c:pt>
                <c:pt idx="4">
                  <c:v>0.51090000000000002</c:v>
                </c:pt>
                <c:pt idx="5">
                  <c:v>0.59119999999999995</c:v>
                </c:pt>
                <c:pt idx="6">
                  <c:v>0.64959999999999996</c:v>
                </c:pt>
                <c:pt idx="7">
                  <c:v>0.70799999999999996</c:v>
                </c:pt>
                <c:pt idx="8">
                  <c:v>0.76639999999999997</c:v>
                </c:pt>
                <c:pt idx="9">
                  <c:v>0.86860000000000004</c:v>
                </c:pt>
                <c:pt idx="10">
                  <c:v>0.92700000000000005</c:v>
                </c:pt>
                <c:pt idx="11">
                  <c:v>0.95620000000000005</c:v>
                </c:pt>
                <c:pt idx="12">
                  <c:v>0.9708</c:v>
                </c:pt>
                <c:pt idx="13">
                  <c:v>0.98540000000000005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83F7-41FC-B90A-CE4A60C289BD}"/>
            </c:ext>
          </c:extLst>
        </c:ser>
        <c:ser>
          <c:idx val="5"/>
          <c:order val="4"/>
          <c:tx>
            <c:strRef>
              <c:f>MBA!$S$24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MBA!$M$25:$M$38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MBA!$S$25:$S$38</c:f>
              <c:numCache>
                <c:formatCode>0.00%</c:formatCode>
                <c:ptCount val="14"/>
                <c:pt idx="0">
                  <c:v>8.43E-2</c:v>
                </c:pt>
                <c:pt idx="1">
                  <c:v>0.40960000000000002</c:v>
                </c:pt>
                <c:pt idx="2">
                  <c:v>0.44579999999999997</c:v>
                </c:pt>
                <c:pt idx="3">
                  <c:v>0.50600000000000001</c:v>
                </c:pt>
                <c:pt idx="4">
                  <c:v>0.53010000000000002</c:v>
                </c:pt>
                <c:pt idx="5">
                  <c:v>0.59040000000000004</c:v>
                </c:pt>
                <c:pt idx="6">
                  <c:v>0.62649999999999995</c:v>
                </c:pt>
                <c:pt idx="7">
                  <c:v>0.66269999999999996</c:v>
                </c:pt>
                <c:pt idx="8">
                  <c:v>0.77110000000000001</c:v>
                </c:pt>
                <c:pt idx="9">
                  <c:v>0.81930000000000003</c:v>
                </c:pt>
                <c:pt idx="10">
                  <c:v>0.92769999999999997</c:v>
                </c:pt>
                <c:pt idx="11">
                  <c:v>0.93979999999999997</c:v>
                </c:pt>
                <c:pt idx="12">
                  <c:v>0.95179999999999998</c:v>
                </c:pt>
                <c:pt idx="13">
                  <c:v>0.95179999999999998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83F7-41FC-B90A-CE4A60C289BD}"/>
            </c:ext>
          </c:extLst>
        </c:ser>
        <c:ser>
          <c:idx val="0"/>
          <c:order val="5"/>
          <c:tx>
            <c:strRef>
              <c:f>MBA!$N$24</c:f>
              <c:strCache>
                <c:ptCount val="1"/>
                <c:pt idx="0">
                  <c:v>2026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MBA!$M$25:$M$38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MBA!$N$25:$N$38</c:f>
              <c:numCache>
                <c:formatCode>0.00%</c:formatCode>
                <c:ptCount val="14"/>
                <c:pt idx="2">
                  <c:v>0.3014</c:v>
                </c:pt>
                <c:pt idx="3">
                  <c:v>0.34250000000000003</c:v>
                </c:pt>
                <c:pt idx="4">
                  <c:v>0.43840000000000001</c:v>
                </c:pt>
                <c:pt idx="5">
                  <c:v>0.47949999999999998</c:v>
                </c:pt>
                <c:pt idx="6">
                  <c:v>0.51390000000000002</c:v>
                </c:pt>
                <c:pt idx="7">
                  <c:v>0.60870000000000002</c:v>
                </c:pt>
                <c:pt idx="8">
                  <c:v>0.66669999999999996</c:v>
                </c:pt>
                <c:pt idx="9">
                  <c:v>0.72459999999999991</c:v>
                </c:pt>
                <c:pt idx="10">
                  <c:v>0.79409999999999992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3F7-41FC-B90A-CE4A60C289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</a:t>
            </a:r>
            <a:r>
              <a:rPr lang="en-US" baseline="0"/>
              <a:t> Placement %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NittyGrittySheet!$A$228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NittyGrittySheet!$B$227:$AL$227</c:f>
              <c:strCache>
                <c:ptCount val="37"/>
                <c:pt idx="0">
                  <c:v>10/13/2025</c:v>
                </c:pt>
                <c:pt idx="1">
                  <c:v>10/17/2025</c:v>
                </c:pt>
                <c:pt idx="2">
                  <c:v>10/24/2025</c:v>
                </c:pt>
                <c:pt idx="3">
                  <c:v>10/31/2025</c:v>
                </c:pt>
                <c:pt idx="4">
                  <c:v>11/7/2025</c:v>
                </c:pt>
                <c:pt idx="5">
                  <c:v>11/14/2025</c:v>
                </c:pt>
                <c:pt idx="6">
                  <c:v>11/21/2025</c:v>
                </c:pt>
                <c:pt idx="7">
                  <c:v>11/28/2025</c:v>
                </c:pt>
                <c:pt idx="8">
                  <c:v>12/5/2025</c:v>
                </c:pt>
                <c:pt idx="9">
                  <c:v>12/12/2025</c:v>
                </c:pt>
                <c:pt idx="10">
                  <c:v>12/19/2025</c:v>
                </c:pt>
                <c:pt idx="11">
                  <c:v>12/26/2025</c:v>
                </c:pt>
                <c:pt idx="12">
                  <c:v>1/2/2026</c:v>
                </c:pt>
                <c:pt idx="13">
                  <c:v>1/9/2026</c:v>
                </c:pt>
                <c:pt idx="14">
                  <c:v>1/16/2026</c:v>
                </c:pt>
                <c:pt idx="15">
                  <c:v>1/23/2026</c:v>
                </c:pt>
                <c:pt idx="16">
                  <c:v>1/30/2026</c:v>
                </c:pt>
                <c:pt idx="17">
                  <c:v>2/6/2026</c:v>
                </c:pt>
                <c:pt idx="18">
                  <c:v>2/13/2026</c:v>
                </c:pt>
                <c:pt idx="19">
                  <c:v>2/20/2026</c:v>
                </c:pt>
                <c:pt idx="20">
                  <c:v>2/27/2026</c:v>
                </c:pt>
                <c:pt idx="21">
                  <c:v>3/13/2026</c:v>
                </c:pt>
                <c:pt idx="22">
                  <c:v>3/20/2026</c:v>
                </c:pt>
                <c:pt idx="23">
                  <c:v>3/27/2026</c:v>
                </c:pt>
                <c:pt idx="24">
                  <c:v>4/3/2026</c:v>
                </c:pt>
                <c:pt idx="25">
                  <c:v>4/10/2026</c:v>
                </c:pt>
                <c:pt idx="26">
                  <c:v>4/17/2026</c:v>
                </c:pt>
                <c:pt idx="27">
                  <c:v>4/24/2026</c:v>
                </c:pt>
                <c:pt idx="28">
                  <c:v>5/1/2026</c:v>
                </c:pt>
                <c:pt idx="29">
                  <c:v>5/8/2026</c:v>
                </c:pt>
                <c:pt idx="30">
                  <c:v>5/15/2026</c:v>
                </c:pt>
                <c:pt idx="31">
                  <c:v>5/22/2026</c:v>
                </c:pt>
                <c:pt idx="32">
                  <c:v>05/29/2026</c:v>
                </c:pt>
                <c:pt idx="33">
                  <c:v>6/5/2026</c:v>
                </c:pt>
                <c:pt idx="34">
                  <c:v>6/12/2026</c:v>
                </c:pt>
                <c:pt idx="35">
                  <c:v>6/19/2026</c:v>
                </c:pt>
                <c:pt idx="36">
                  <c:v>6/26/2026</c:v>
                </c:pt>
              </c:strCache>
            </c:strRef>
          </c:cat>
          <c:val>
            <c:numRef>
              <c:f>NittyGrittySheet!$B$228:$AL$228</c:f>
              <c:numCache>
                <c:formatCode>0.00%</c:formatCode>
                <c:ptCount val="37"/>
                <c:pt idx="0">
                  <c:v>0.27400000000000002</c:v>
                </c:pt>
                <c:pt idx="1">
                  <c:v>0.27400000000000002</c:v>
                </c:pt>
                <c:pt idx="2">
                  <c:v>0.27400000000000002</c:v>
                </c:pt>
                <c:pt idx="3">
                  <c:v>0.3014</c:v>
                </c:pt>
                <c:pt idx="4">
                  <c:v>0.3014</c:v>
                </c:pt>
                <c:pt idx="5">
                  <c:v>0.31509999999999999</c:v>
                </c:pt>
                <c:pt idx="6">
                  <c:v>0.34250000000000003</c:v>
                </c:pt>
                <c:pt idx="7">
                  <c:v>0.34250000000000003</c:v>
                </c:pt>
                <c:pt idx="8">
                  <c:v>0.41099999999999998</c:v>
                </c:pt>
                <c:pt idx="9">
                  <c:v>0.41099999999999998</c:v>
                </c:pt>
                <c:pt idx="10">
                  <c:v>0.43840000000000001</c:v>
                </c:pt>
                <c:pt idx="11">
                  <c:v>0.43840000000000001</c:v>
                </c:pt>
                <c:pt idx="12">
                  <c:v>0.43840000000000001</c:v>
                </c:pt>
                <c:pt idx="13">
                  <c:v>0.47949999999999998</c:v>
                </c:pt>
                <c:pt idx="14">
                  <c:v>0.47299999999999998</c:v>
                </c:pt>
                <c:pt idx="15">
                  <c:v>0.47949999999999998</c:v>
                </c:pt>
                <c:pt idx="16">
                  <c:v>0.47949999999999998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0.52859999999999996</c:v>
                </c:pt>
                <c:pt idx="22">
                  <c:v>0.57969999999999999</c:v>
                </c:pt>
                <c:pt idx="23">
                  <c:v>0.59419999999999995</c:v>
                </c:pt>
                <c:pt idx="24">
                  <c:v>0.61760000000000004</c:v>
                </c:pt>
                <c:pt idx="25">
                  <c:v>0.63239999999999996</c:v>
                </c:pt>
                <c:pt idx="26">
                  <c:v>0.66180000000000005</c:v>
                </c:pt>
                <c:pt idx="27">
                  <c:v>0.6522</c:v>
                </c:pt>
                <c:pt idx="28">
                  <c:v>0.66669999999999996</c:v>
                </c:pt>
                <c:pt idx="29">
                  <c:v>0.66670000000000007</c:v>
                </c:pt>
                <c:pt idx="30">
                  <c:v>0.66670000000000007</c:v>
                </c:pt>
                <c:pt idx="31">
                  <c:v>0.7</c:v>
                </c:pt>
                <c:pt idx="32">
                  <c:v>0.72459999999999991</c:v>
                </c:pt>
                <c:pt idx="33">
                  <c:v>0.77939999999999998</c:v>
                </c:pt>
                <c:pt idx="34">
                  <c:v>0.77939999999999998</c:v>
                </c:pt>
                <c:pt idx="35">
                  <c:v>0.77939999999999998</c:v>
                </c:pt>
                <c:pt idx="36">
                  <c:v>0.79409999999999992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AB-4BC3-AA81-9E05EA48E3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Search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NittyGrittySheet!$A$231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NittyGrittySheet!$B$230:$AL$230</c:f>
              <c:strCache>
                <c:ptCount val="37"/>
                <c:pt idx="0">
                  <c:v>10/13/2025</c:v>
                </c:pt>
                <c:pt idx="1">
                  <c:v>10/17/2025</c:v>
                </c:pt>
                <c:pt idx="2">
                  <c:v>10/24/2025</c:v>
                </c:pt>
                <c:pt idx="3">
                  <c:v>10/31/2025</c:v>
                </c:pt>
                <c:pt idx="4">
                  <c:v>11/7/2025</c:v>
                </c:pt>
                <c:pt idx="5">
                  <c:v>11/14/2025</c:v>
                </c:pt>
                <c:pt idx="6">
                  <c:v>11/21/2025</c:v>
                </c:pt>
                <c:pt idx="7">
                  <c:v>11/28/2025</c:v>
                </c:pt>
                <c:pt idx="8">
                  <c:v>12/5/2025</c:v>
                </c:pt>
                <c:pt idx="9">
                  <c:v>12/12/2025</c:v>
                </c:pt>
                <c:pt idx="10">
                  <c:v>12/19/2025</c:v>
                </c:pt>
                <c:pt idx="11">
                  <c:v>12/26/2025</c:v>
                </c:pt>
                <c:pt idx="12">
                  <c:v>1/2/2026</c:v>
                </c:pt>
                <c:pt idx="13">
                  <c:v>1/9/2026</c:v>
                </c:pt>
                <c:pt idx="14">
                  <c:v>1/16/2026</c:v>
                </c:pt>
                <c:pt idx="15">
                  <c:v>1/23/2026</c:v>
                </c:pt>
                <c:pt idx="16">
                  <c:v>1/30/2026</c:v>
                </c:pt>
                <c:pt idx="17">
                  <c:v>2/6/2026</c:v>
                </c:pt>
                <c:pt idx="18">
                  <c:v>2/13/2026</c:v>
                </c:pt>
                <c:pt idx="19">
                  <c:v>2/20/2026</c:v>
                </c:pt>
                <c:pt idx="20">
                  <c:v>2/27/2026</c:v>
                </c:pt>
                <c:pt idx="21">
                  <c:v>3/13/2026</c:v>
                </c:pt>
                <c:pt idx="22">
                  <c:v>3/20/2026</c:v>
                </c:pt>
                <c:pt idx="23">
                  <c:v>3/27/2026</c:v>
                </c:pt>
                <c:pt idx="24">
                  <c:v>4/3/2026</c:v>
                </c:pt>
                <c:pt idx="25">
                  <c:v>4/10/2026</c:v>
                </c:pt>
                <c:pt idx="26">
                  <c:v>4/17/2026</c:v>
                </c:pt>
                <c:pt idx="27">
                  <c:v>4/24/2026</c:v>
                </c:pt>
                <c:pt idx="28">
                  <c:v>5/1/2026</c:v>
                </c:pt>
                <c:pt idx="29">
                  <c:v>5/8/2026</c:v>
                </c:pt>
                <c:pt idx="30">
                  <c:v>5/15/2026</c:v>
                </c:pt>
                <c:pt idx="31">
                  <c:v>5/22/2026</c:v>
                </c:pt>
                <c:pt idx="32">
                  <c:v>05/29/2026</c:v>
                </c:pt>
                <c:pt idx="33">
                  <c:v>6/5/2026</c:v>
                </c:pt>
                <c:pt idx="34">
                  <c:v>6/12/2026</c:v>
                </c:pt>
                <c:pt idx="35">
                  <c:v>6/19/2026</c:v>
                </c:pt>
                <c:pt idx="36">
                  <c:v>6/26/2026</c:v>
                </c:pt>
              </c:strCache>
            </c:strRef>
          </c:cat>
          <c:val>
            <c:numRef>
              <c:f>NittyGrittySheet!$B$231:$AL$231</c:f>
              <c:numCache>
                <c:formatCode>General</c:formatCode>
                <c:ptCount val="37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22</c:v>
                </c:pt>
                <c:pt idx="4">
                  <c:v>22</c:v>
                </c:pt>
                <c:pt idx="5">
                  <c:v>23</c:v>
                </c:pt>
                <c:pt idx="6">
                  <c:v>25</c:v>
                </c:pt>
                <c:pt idx="7">
                  <c:v>25</c:v>
                </c:pt>
                <c:pt idx="8">
                  <c:v>30</c:v>
                </c:pt>
                <c:pt idx="9">
                  <c:v>30</c:v>
                </c:pt>
                <c:pt idx="10">
                  <c:v>32</c:v>
                </c:pt>
                <c:pt idx="11">
                  <c:v>32</c:v>
                </c:pt>
                <c:pt idx="12">
                  <c:v>32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36</c:v>
                </c:pt>
                <c:pt idx="18">
                  <c:v>36</c:v>
                </c:pt>
                <c:pt idx="19">
                  <c:v>36</c:v>
                </c:pt>
                <c:pt idx="20">
                  <c:v>36</c:v>
                </c:pt>
                <c:pt idx="21">
                  <c:v>37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45</c:v>
                </c:pt>
                <c:pt idx="27">
                  <c:v>45</c:v>
                </c:pt>
                <c:pt idx="28">
                  <c:v>46</c:v>
                </c:pt>
                <c:pt idx="29">
                  <c:v>46</c:v>
                </c:pt>
                <c:pt idx="30">
                  <c:v>46</c:v>
                </c:pt>
                <c:pt idx="31">
                  <c:v>49</c:v>
                </c:pt>
                <c:pt idx="32">
                  <c:v>50</c:v>
                </c:pt>
                <c:pt idx="33">
                  <c:v>53</c:v>
                </c:pt>
                <c:pt idx="34">
                  <c:v>53</c:v>
                </c:pt>
                <c:pt idx="35">
                  <c:v>53</c:v>
                </c:pt>
                <c:pt idx="36">
                  <c:v>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79-467C-B0C5-AC2121B44EBB}"/>
            </c:ext>
          </c:extLst>
        </c:ser>
        <c:ser>
          <c:idx val="1"/>
          <c:order val="1"/>
          <c:tx>
            <c:strRef>
              <c:f>NittyGrittySheet!$A$232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NittyGrittySheet!$B$230:$AL$230</c:f>
              <c:strCache>
                <c:ptCount val="37"/>
                <c:pt idx="0">
                  <c:v>10/13/2025</c:v>
                </c:pt>
                <c:pt idx="1">
                  <c:v>10/17/2025</c:v>
                </c:pt>
                <c:pt idx="2">
                  <c:v>10/24/2025</c:v>
                </c:pt>
                <c:pt idx="3">
                  <c:v>10/31/2025</c:v>
                </c:pt>
                <c:pt idx="4">
                  <c:v>11/7/2025</c:v>
                </c:pt>
                <c:pt idx="5">
                  <c:v>11/14/2025</c:v>
                </c:pt>
                <c:pt idx="6">
                  <c:v>11/21/2025</c:v>
                </c:pt>
                <c:pt idx="7">
                  <c:v>11/28/2025</c:v>
                </c:pt>
                <c:pt idx="8">
                  <c:v>12/5/2025</c:v>
                </c:pt>
                <c:pt idx="9">
                  <c:v>12/12/2025</c:v>
                </c:pt>
                <c:pt idx="10">
                  <c:v>12/19/2025</c:v>
                </c:pt>
                <c:pt idx="11">
                  <c:v>12/26/2025</c:v>
                </c:pt>
                <c:pt idx="12">
                  <c:v>1/2/2026</c:v>
                </c:pt>
                <c:pt idx="13">
                  <c:v>1/9/2026</c:v>
                </c:pt>
                <c:pt idx="14">
                  <c:v>1/16/2026</c:v>
                </c:pt>
                <c:pt idx="15">
                  <c:v>1/23/2026</c:v>
                </c:pt>
                <c:pt idx="16">
                  <c:v>1/30/2026</c:v>
                </c:pt>
                <c:pt idx="17">
                  <c:v>2/6/2026</c:v>
                </c:pt>
                <c:pt idx="18">
                  <c:v>2/13/2026</c:v>
                </c:pt>
                <c:pt idx="19">
                  <c:v>2/20/2026</c:v>
                </c:pt>
                <c:pt idx="20">
                  <c:v>2/27/2026</c:v>
                </c:pt>
                <c:pt idx="21">
                  <c:v>3/13/2026</c:v>
                </c:pt>
                <c:pt idx="22">
                  <c:v>3/20/2026</c:v>
                </c:pt>
                <c:pt idx="23">
                  <c:v>3/27/2026</c:v>
                </c:pt>
                <c:pt idx="24">
                  <c:v>4/3/2026</c:v>
                </c:pt>
                <c:pt idx="25">
                  <c:v>4/10/2026</c:v>
                </c:pt>
                <c:pt idx="26">
                  <c:v>4/17/2026</c:v>
                </c:pt>
                <c:pt idx="27">
                  <c:v>4/24/2026</c:v>
                </c:pt>
                <c:pt idx="28">
                  <c:v>5/1/2026</c:v>
                </c:pt>
                <c:pt idx="29">
                  <c:v>5/8/2026</c:v>
                </c:pt>
                <c:pt idx="30">
                  <c:v>5/15/2026</c:v>
                </c:pt>
                <c:pt idx="31">
                  <c:v>5/22/2026</c:v>
                </c:pt>
                <c:pt idx="32">
                  <c:v>05/29/2026</c:v>
                </c:pt>
                <c:pt idx="33">
                  <c:v>6/5/2026</c:v>
                </c:pt>
                <c:pt idx="34">
                  <c:v>6/12/2026</c:v>
                </c:pt>
                <c:pt idx="35">
                  <c:v>6/19/2026</c:v>
                </c:pt>
                <c:pt idx="36">
                  <c:v>6/26/2026</c:v>
                </c:pt>
              </c:strCache>
            </c:strRef>
          </c:cat>
          <c:val>
            <c:numRef>
              <c:f>NittyGrittySheet!$B$232:$AL$232</c:f>
              <c:numCache>
                <c:formatCode>General</c:formatCode>
                <c:ptCount val="37"/>
                <c:pt idx="0">
                  <c:v>52</c:v>
                </c:pt>
                <c:pt idx="1">
                  <c:v>52</c:v>
                </c:pt>
                <c:pt idx="2">
                  <c:v>52</c:v>
                </c:pt>
                <c:pt idx="3">
                  <c:v>50</c:v>
                </c:pt>
                <c:pt idx="4">
                  <c:v>50</c:v>
                </c:pt>
                <c:pt idx="5">
                  <c:v>49</c:v>
                </c:pt>
                <c:pt idx="6">
                  <c:v>47</c:v>
                </c:pt>
                <c:pt idx="7">
                  <c:v>47</c:v>
                </c:pt>
                <c:pt idx="8">
                  <c:v>42</c:v>
                </c:pt>
                <c:pt idx="9">
                  <c:v>42</c:v>
                </c:pt>
                <c:pt idx="10">
                  <c:v>40</c:v>
                </c:pt>
                <c:pt idx="11">
                  <c:v>40</c:v>
                </c:pt>
                <c:pt idx="12">
                  <c:v>40</c:v>
                </c:pt>
                <c:pt idx="13">
                  <c:v>37</c:v>
                </c:pt>
                <c:pt idx="14">
                  <c:v>38</c:v>
                </c:pt>
                <c:pt idx="15">
                  <c:v>38</c:v>
                </c:pt>
                <c:pt idx="16">
                  <c:v>38</c:v>
                </c:pt>
                <c:pt idx="17">
                  <c:v>36</c:v>
                </c:pt>
                <c:pt idx="18">
                  <c:v>36</c:v>
                </c:pt>
                <c:pt idx="19">
                  <c:v>36</c:v>
                </c:pt>
                <c:pt idx="20">
                  <c:v>36</c:v>
                </c:pt>
                <c:pt idx="21">
                  <c:v>33</c:v>
                </c:pt>
                <c:pt idx="22">
                  <c:v>29</c:v>
                </c:pt>
                <c:pt idx="23">
                  <c:v>28</c:v>
                </c:pt>
                <c:pt idx="24">
                  <c:v>26</c:v>
                </c:pt>
                <c:pt idx="25">
                  <c:v>25</c:v>
                </c:pt>
                <c:pt idx="26">
                  <c:v>23</c:v>
                </c:pt>
                <c:pt idx="27">
                  <c:v>24</c:v>
                </c:pt>
                <c:pt idx="28">
                  <c:v>23</c:v>
                </c:pt>
                <c:pt idx="29">
                  <c:v>23</c:v>
                </c:pt>
                <c:pt idx="30">
                  <c:v>23</c:v>
                </c:pt>
                <c:pt idx="31">
                  <c:v>21</c:v>
                </c:pt>
                <c:pt idx="32">
                  <c:v>19</c:v>
                </c:pt>
                <c:pt idx="33">
                  <c:v>15</c:v>
                </c:pt>
                <c:pt idx="34">
                  <c:v>15</c:v>
                </c:pt>
                <c:pt idx="35">
                  <c:v>15</c:v>
                </c:pt>
                <c:pt idx="36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79-467C-B0C5-AC2121B44EBB}"/>
            </c:ext>
          </c:extLst>
        </c:ser>
        <c:ser>
          <c:idx val="3"/>
          <c:order val="3"/>
          <c:tx>
            <c:strRef>
              <c:f>NittyGrittySheet!$A$234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NittyGrittySheet!$B$230:$AL$230</c:f>
              <c:strCache>
                <c:ptCount val="37"/>
                <c:pt idx="0">
                  <c:v>10/13/2025</c:v>
                </c:pt>
                <c:pt idx="1">
                  <c:v>10/17/2025</c:v>
                </c:pt>
                <c:pt idx="2">
                  <c:v>10/24/2025</c:v>
                </c:pt>
                <c:pt idx="3">
                  <c:v>10/31/2025</c:v>
                </c:pt>
                <c:pt idx="4">
                  <c:v>11/7/2025</c:v>
                </c:pt>
                <c:pt idx="5">
                  <c:v>11/14/2025</c:v>
                </c:pt>
                <c:pt idx="6">
                  <c:v>11/21/2025</c:v>
                </c:pt>
                <c:pt idx="7">
                  <c:v>11/28/2025</c:v>
                </c:pt>
                <c:pt idx="8">
                  <c:v>12/5/2025</c:v>
                </c:pt>
                <c:pt idx="9">
                  <c:v>12/12/2025</c:v>
                </c:pt>
                <c:pt idx="10">
                  <c:v>12/19/2025</c:v>
                </c:pt>
                <c:pt idx="11">
                  <c:v>12/26/2025</c:v>
                </c:pt>
                <c:pt idx="12">
                  <c:v>1/2/2026</c:v>
                </c:pt>
                <c:pt idx="13">
                  <c:v>1/9/2026</c:v>
                </c:pt>
                <c:pt idx="14">
                  <c:v>1/16/2026</c:v>
                </c:pt>
                <c:pt idx="15">
                  <c:v>1/23/2026</c:v>
                </c:pt>
                <c:pt idx="16">
                  <c:v>1/30/2026</c:v>
                </c:pt>
                <c:pt idx="17">
                  <c:v>2/6/2026</c:v>
                </c:pt>
                <c:pt idx="18">
                  <c:v>2/13/2026</c:v>
                </c:pt>
                <c:pt idx="19">
                  <c:v>2/20/2026</c:v>
                </c:pt>
                <c:pt idx="20">
                  <c:v>2/27/2026</c:v>
                </c:pt>
                <c:pt idx="21">
                  <c:v>3/13/2026</c:v>
                </c:pt>
                <c:pt idx="22">
                  <c:v>3/20/2026</c:v>
                </c:pt>
                <c:pt idx="23">
                  <c:v>3/27/2026</c:v>
                </c:pt>
                <c:pt idx="24">
                  <c:v>4/3/2026</c:v>
                </c:pt>
                <c:pt idx="25">
                  <c:v>4/10/2026</c:v>
                </c:pt>
                <c:pt idx="26">
                  <c:v>4/17/2026</c:v>
                </c:pt>
                <c:pt idx="27">
                  <c:v>4/24/2026</c:v>
                </c:pt>
                <c:pt idx="28">
                  <c:v>5/1/2026</c:v>
                </c:pt>
                <c:pt idx="29">
                  <c:v>5/8/2026</c:v>
                </c:pt>
                <c:pt idx="30">
                  <c:v>5/15/2026</c:v>
                </c:pt>
                <c:pt idx="31">
                  <c:v>5/22/2026</c:v>
                </c:pt>
                <c:pt idx="32">
                  <c:v>05/29/2026</c:v>
                </c:pt>
                <c:pt idx="33">
                  <c:v>6/5/2026</c:v>
                </c:pt>
                <c:pt idx="34">
                  <c:v>6/12/2026</c:v>
                </c:pt>
                <c:pt idx="35">
                  <c:v>6/19/2026</c:v>
                </c:pt>
                <c:pt idx="36">
                  <c:v>6/26/2026</c:v>
                </c:pt>
              </c:strCache>
            </c:strRef>
          </c:cat>
          <c:val>
            <c:numRef>
              <c:f>NittyGrittySheet!$B$234:$AL$234</c:f>
              <c:numCache>
                <c:formatCode>General</c:formatCode>
                <c:ptCount val="3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279-467C-B0C5-AC2121B44E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NittyGrittySheet!$A$233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NittyGrittySheet!$B$230:$AL$230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NittyGrittySheet!$B$233:$AL$233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2279-467C-B0C5-AC2121B44EBB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NittyGrittySheet!$A$235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NittyGrittySheet!$B$230:$AL$230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NittyGrittySheet!$B$235:$AL$235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2</c:v>
                      </c:pt>
                      <c:pt idx="6">
                        <c:v>2</c:v>
                      </c:pt>
                      <c:pt idx="7">
                        <c:v>2</c:v>
                      </c:pt>
                      <c:pt idx="8">
                        <c:v>2</c:v>
                      </c:pt>
                      <c:pt idx="9">
                        <c:v>2</c:v>
                      </c:pt>
                      <c:pt idx="10">
                        <c:v>2</c:v>
                      </c:pt>
                      <c:pt idx="11">
                        <c:v>2</c:v>
                      </c:pt>
                      <c:pt idx="12">
                        <c:v>2</c:v>
                      </c:pt>
                      <c:pt idx="13">
                        <c:v>2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2279-467C-B0C5-AC2121B44EBB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NittyGrittySheet!$A$236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NittyGrittySheet!$B$230:$AL$230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NittyGrittySheet!$B$236:$AL$236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2279-467C-B0C5-AC2121B44EBB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NittyGrittySheet!$A$237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NittyGrittySheet!$B$230:$AL$230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NittyGrittySheet!$B$237:$AL$237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2279-467C-B0C5-AC2121B44EBB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NittyGrittySheet!$A$238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NittyGrittySheet!$B$230:$AL$230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NittyGrittySheet!$B$238:$AL$238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1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2279-467C-B0C5-AC2121B44EBB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NittyGrittySheet!$A$239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NittyGrittySheet!$B$230:$AL$230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NittyGrittySheet!$B$239:$AL$239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2279-467C-B0C5-AC2121B44EBB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NittyGrittySheet!$A$240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NittyGrittySheet!$B$230:$AL$230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NittyGrittySheet!$B$240:$AL$240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4</c:v>
                      </c:pt>
                      <c:pt idx="1">
                        <c:v>4</c:v>
                      </c:pt>
                      <c:pt idx="2">
                        <c:v>4</c:v>
                      </c:pt>
                      <c:pt idx="3">
                        <c:v>4</c:v>
                      </c:pt>
                      <c:pt idx="4">
                        <c:v>4</c:v>
                      </c:pt>
                      <c:pt idx="5">
                        <c:v>4</c:v>
                      </c:pt>
                      <c:pt idx="6">
                        <c:v>4</c:v>
                      </c:pt>
                      <c:pt idx="7">
                        <c:v>4</c:v>
                      </c:pt>
                      <c:pt idx="8">
                        <c:v>4</c:v>
                      </c:pt>
                      <c:pt idx="9">
                        <c:v>4</c:v>
                      </c:pt>
                      <c:pt idx="10">
                        <c:v>4</c:v>
                      </c:pt>
                      <c:pt idx="11">
                        <c:v>4</c:v>
                      </c:pt>
                      <c:pt idx="12">
                        <c:v>4</c:v>
                      </c:pt>
                      <c:pt idx="13">
                        <c:v>4</c:v>
                      </c:pt>
                      <c:pt idx="14">
                        <c:v>4</c:v>
                      </c:pt>
                      <c:pt idx="15">
                        <c:v>4</c:v>
                      </c:pt>
                      <c:pt idx="16">
                        <c:v>4</c:v>
                      </c:pt>
                      <c:pt idx="17">
                        <c:v>4</c:v>
                      </c:pt>
                      <c:pt idx="18">
                        <c:v>4</c:v>
                      </c:pt>
                      <c:pt idx="19">
                        <c:v>4</c:v>
                      </c:pt>
                      <c:pt idx="20">
                        <c:v>4</c:v>
                      </c:pt>
                      <c:pt idx="21">
                        <c:v>6</c:v>
                      </c:pt>
                      <c:pt idx="22">
                        <c:v>6</c:v>
                      </c:pt>
                      <c:pt idx="23">
                        <c:v>6</c:v>
                      </c:pt>
                      <c:pt idx="24">
                        <c:v>6</c:v>
                      </c:pt>
                      <c:pt idx="25">
                        <c:v>6</c:v>
                      </c:pt>
                      <c:pt idx="26">
                        <c:v>6</c:v>
                      </c:pt>
                      <c:pt idx="27">
                        <c:v>5</c:v>
                      </c:pt>
                      <c:pt idx="28">
                        <c:v>5</c:v>
                      </c:pt>
                      <c:pt idx="29">
                        <c:v>5</c:v>
                      </c:pt>
                      <c:pt idx="30">
                        <c:v>5</c:v>
                      </c:pt>
                      <c:pt idx="31">
                        <c:v>5</c:v>
                      </c:pt>
                      <c:pt idx="32">
                        <c:v>5</c:v>
                      </c:pt>
                      <c:pt idx="33">
                        <c:v>5</c:v>
                      </c:pt>
                      <c:pt idx="34">
                        <c:v>5</c:v>
                      </c:pt>
                      <c:pt idx="35">
                        <c:v>5</c:v>
                      </c:pt>
                      <c:pt idx="36">
                        <c:v>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2279-467C-B0C5-AC2121B44EBB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NittyGrittySheet!$A$241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NittyGrittySheet!$B$230:$AL$230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NittyGrittySheet!$B$241:$AL$241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81</c:v>
                      </c:pt>
                      <c:pt idx="1">
                        <c:v>81</c:v>
                      </c:pt>
                      <c:pt idx="2">
                        <c:v>81</c:v>
                      </c:pt>
                      <c:pt idx="3">
                        <c:v>81</c:v>
                      </c:pt>
                      <c:pt idx="4">
                        <c:v>81</c:v>
                      </c:pt>
                      <c:pt idx="5">
                        <c:v>81</c:v>
                      </c:pt>
                      <c:pt idx="6">
                        <c:v>81</c:v>
                      </c:pt>
                      <c:pt idx="7">
                        <c:v>81</c:v>
                      </c:pt>
                      <c:pt idx="8">
                        <c:v>81</c:v>
                      </c:pt>
                      <c:pt idx="9">
                        <c:v>81</c:v>
                      </c:pt>
                      <c:pt idx="10">
                        <c:v>81</c:v>
                      </c:pt>
                      <c:pt idx="11">
                        <c:v>81</c:v>
                      </c:pt>
                      <c:pt idx="12">
                        <c:v>81</c:v>
                      </c:pt>
                      <c:pt idx="13">
                        <c:v>81</c:v>
                      </c:pt>
                      <c:pt idx="14">
                        <c:v>81</c:v>
                      </c:pt>
                      <c:pt idx="15">
                        <c:v>80</c:v>
                      </c:pt>
                      <c:pt idx="16">
                        <c:v>80</c:v>
                      </c:pt>
                      <c:pt idx="17">
                        <c:v>79</c:v>
                      </c:pt>
                      <c:pt idx="18">
                        <c:v>79</c:v>
                      </c:pt>
                      <c:pt idx="19">
                        <c:v>79</c:v>
                      </c:pt>
                      <c:pt idx="20">
                        <c:v>79</c:v>
                      </c:pt>
                      <c:pt idx="21">
                        <c:v>79</c:v>
                      </c:pt>
                      <c:pt idx="22">
                        <c:v>78</c:v>
                      </c:pt>
                      <c:pt idx="23">
                        <c:v>78</c:v>
                      </c:pt>
                      <c:pt idx="24">
                        <c:v>77</c:v>
                      </c:pt>
                      <c:pt idx="25">
                        <c:v>77</c:v>
                      </c:pt>
                      <c:pt idx="26">
                        <c:v>77</c:v>
                      </c:pt>
                      <c:pt idx="27">
                        <c:v>77</c:v>
                      </c:pt>
                      <c:pt idx="28">
                        <c:v>77</c:v>
                      </c:pt>
                      <c:pt idx="29">
                        <c:v>77</c:v>
                      </c:pt>
                      <c:pt idx="30">
                        <c:v>77</c:v>
                      </c:pt>
                      <c:pt idx="31">
                        <c:v>77</c:v>
                      </c:pt>
                      <c:pt idx="32">
                        <c:v>77</c:v>
                      </c:pt>
                      <c:pt idx="33">
                        <c:v>77</c:v>
                      </c:pt>
                      <c:pt idx="34">
                        <c:v>77</c:v>
                      </c:pt>
                      <c:pt idx="35">
                        <c:v>77</c:v>
                      </c:pt>
                      <c:pt idx="36">
                        <c:v>77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2279-467C-B0C5-AC2121B44EBB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</a:t>
                </a:r>
                <a:r>
                  <a:rPr lang="en-US" baseline="0"/>
                  <a:t> Of Students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% Placed 5 Year Summary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MISM!$O$24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MISM!$M$25:$M$38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MISM!$O$25:$O$38</c:f>
              <c:numCache>
                <c:formatCode>0.00%</c:formatCode>
                <c:ptCount val="14"/>
                <c:pt idx="0">
                  <c:v>4.3999999999999997E-2</c:v>
                </c:pt>
                <c:pt idx="1">
                  <c:v>7.6899999999999996E-2</c:v>
                </c:pt>
                <c:pt idx="2">
                  <c:v>9.8900000000000002E-2</c:v>
                </c:pt>
                <c:pt idx="3">
                  <c:v>0.13189999999999999</c:v>
                </c:pt>
                <c:pt idx="4">
                  <c:v>0.1429</c:v>
                </c:pt>
                <c:pt idx="5">
                  <c:v>0.31869999999999998</c:v>
                </c:pt>
                <c:pt idx="6">
                  <c:v>0.3407</c:v>
                </c:pt>
                <c:pt idx="7">
                  <c:v>0.53849999999999998</c:v>
                </c:pt>
                <c:pt idx="8">
                  <c:v>0.64839999999999998</c:v>
                </c:pt>
                <c:pt idx="9">
                  <c:v>0.70330000000000004</c:v>
                </c:pt>
                <c:pt idx="10">
                  <c:v>0.81320000000000003</c:v>
                </c:pt>
                <c:pt idx="11">
                  <c:v>0.8901</c:v>
                </c:pt>
                <c:pt idx="12">
                  <c:v>0.94510000000000005</c:v>
                </c:pt>
                <c:pt idx="13">
                  <c:v>0.94510000000000005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4A-40ED-A44B-45B4584CC0CA}"/>
            </c:ext>
          </c:extLst>
        </c:ser>
        <c:ser>
          <c:idx val="2"/>
          <c:order val="1"/>
          <c:tx>
            <c:strRef>
              <c:f>MISM!$P$24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MISM!$M$25:$M$38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MISM!$P$25:$P$38</c:f>
              <c:numCache>
                <c:formatCode>0.00%</c:formatCode>
                <c:ptCount val="14"/>
                <c:pt idx="0">
                  <c:v>9.5699999999999993E-2</c:v>
                </c:pt>
                <c:pt idx="1">
                  <c:v>0.15959999999999999</c:v>
                </c:pt>
                <c:pt idx="2">
                  <c:v>0.18090000000000001</c:v>
                </c:pt>
                <c:pt idx="3">
                  <c:v>0.27660000000000001</c:v>
                </c:pt>
                <c:pt idx="4">
                  <c:v>0.28720000000000001</c:v>
                </c:pt>
                <c:pt idx="5">
                  <c:v>0.37230000000000002</c:v>
                </c:pt>
                <c:pt idx="6">
                  <c:v>0.43619999999999998</c:v>
                </c:pt>
                <c:pt idx="7">
                  <c:v>0.61699999999999999</c:v>
                </c:pt>
                <c:pt idx="8">
                  <c:v>0.67020000000000002</c:v>
                </c:pt>
                <c:pt idx="9">
                  <c:v>0.6915</c:v>
                </c:pt>
                <c:pt idx="10">
                  <c:v>0.71279999999999999</c:v>
                </c:pt>
                <c:pt idx="11">
                  <c:v>0.88300000000000001</c:v>
                </c:pt>
                <c:pt idx="12">
                  <c:v>0.90429999999999999</c:v>
                </c:pt>
                <c:pt idx="13">
                  <c:v>0.90429999999999999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E24A-40ED-A44B-45B4584CC0CA}"/>
            </c:ext>
          </c:extLst>
        </c:ser>
        <c:ser>
          <c:idx val="3"/>
          <c:order val="2"/>
          <c:tx>
            <c:strRef>
              <c:f>MISM!$Q$24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MISM!$M$25:$M$38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MISM!$Q$25:$Q$38</c:f>
              <c:numCache>
                <c:formatCode>0.00%</c:formatCode>
                <c:ptCount val="14"/>
                <c:pt idx="0">
                  <c:v>6.9000000000000006E-2</c:v>
                </c:pt>
                <c:pt idx="1">
                  <c:v>0.10340000000000001</c:v>
                </c:pt>
                <c:pt idx="2">
                  <c:v>0.13789999999999999</c:v>
                </c:pt>
                <c:pt idx="3">
                  <c:v>0.2069</c:v>
                </c:pt>
                <c:pt idx="4">
                  <c:v>0.2414</c:v>
                </c:pt>
                <c:pt idx="5">
                  <c:v>0.33329999999999999</c:v>
                </c:pt>
                <c:pt idx="6">
                  <c:v>0.35630000000000001</c:v>
                </c:pt>
                <c:pt idx="7">
                  <c:v>0.66669999999999996</c:v>
                </c:pt>
                <c:pt idx="8">
                  <c:v>0.68969999999999998</c:v>
                </c:pt>
                <c:pt idx="9">
                  <c:v>0.72409999999999997</c:v>
                </c:pt>
                <c:pt idx="10">
                  <c:v>0.81610000000000005</c:v>
                </c:pt>
                <c:pt idx="11">
                  <c:v>0.93100000000000005</c:v>
                </c:pt>
                <c:pt idx="12">
                  <c:v>0.9425</c:v>
                </c:pt>
                <c:pt idx="13">
                  <c:v>0.9425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E24A-40ED-A44B-45B4584CC0CA}"/>
            </c:ext>
          </c:extLst>
        </c:ser>
        <c:ser>
          <c:idx val="4"/>
          <c:order val="3"/>
          <c:tx>
            <c:strRef>
              <c:f>MISM!$R$24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MISM!$M$25:$M$38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MISM!$R$25:$R$38</c:f>
              <c:numCache>
                <c:formatCode>0.00%</c:formatCode>
                <c:ptCount val="14"/>
                <c:pt idx="0">
                  <c:v>6.9800000000000001E-2</c:v>
                </c:pt>
                <c:pt idx="1">
                  <c:v>0.12790000000000001</c:v>
                </c:pt>
                <c:pt idx="2">
                  <c:v>0.19769999999999999</c:v>
                </c:pt>
                <c:pt idx="3">
                  <c:v>0.3372</c:v>
                </c:pt>
                <c:pt idx="4">
                  <c:v>0.36049999999999999</c:v>
                </c:pt>
                <c:pt idx="5">
                  <c:v>0.47670000000000001</c:v>
                </c:pt>
                <c:pt idx="6">
                  <c:v>0.52329999999999999</c:v>
                </c:pt>
                <c:pt idx="7">
                  <c:v>0.73260000000000003</c:v>
                </c:pt>
                <c:pt idx="8">
                  <c:v>0.8256</c:v>
                </c:pt>
                <c:pt idx="9">
                  <c:v>0.90700000000000003</c:v>
                </c:pt>
                <c:pt idx="10">
                  <c:v>0.96509999999999996</c:v>
                </c:pt>
                <c:pt idx="11">
                  <c:v>1.0116000000000001</c:v>
                </c:pt>
                <c:pt idx="12">
                  <c:v>1.0116000000000001</c:v>
                </c:pt>
                <c:pt idx="13">
                  <c:v>1.0116000000000001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E24A-40ED-A44B-45B4584CC0CA}"/>
            </c:ext>
          </c:extLst>
        </c:ser>
        <c:ser>
          <c:idx val="5"/>
          <c:order val="4"/>
          <c:tx>
            <c:strRef>
              <c:f>MISM!$S$24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MISM!$M$25:$M$38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MISM!$S$25:$S$38</c:f>
              <c:numCache>
                <c:formatCode>0.00%</c:formatCode>
                <c:ptCount val="14"/>
                <c:pt idx="0">
                  <c:v>6.7599999999999993E-2</c:v>
                </c:pt>
                <c:pt idx="1">
                  <c:v>0.1216</c:v>
                </c:pt>
                <c:pt idx="2">
                  <c:v>0.1757</c:v>
                </c:pt>
                <c:pt idx="3">
                  <c:v>0.32429999999999998</c:v>
                </c:pt>
                <c:pt idx="4">
                  <c:v>0.33779999999999999</c:v>
                </c:pt>
                <c:pt idx="5">
                  <c:v>0.37840000000000001</c:v>
                </c:pt>
                <c:pt idx="6">
                  <c:v>0.56759999999999999</c:v>
                </c:pt>
                <c:pt idx="7">
                  <c:v>0.71619999999999995</c:v>
                </c:pt>
                <c:pt idx="8">
                  <c:v>0.81079999999999997</c:v>
                </c:pt>
                <c:pt idx="9">
                  <c:v>0.8649</c:v>
                </c:pt>
                <c:pt idx="10">
                  <c:v>0.87839999999999996</c:v>
                </c:pt>
                <c:pt idx="11">
                  <c:v>0.97299999999999998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E24A-40ED-A44B-45B4584CC0CA}"/>
            </c:ext>
          </c:extLst>
        </c:ser>
        <c:ser>
          <c:idx val="0"/>
          <c:order val="5"/>
          <c:tx>
            <c:strRef>
              <c:f>MISM!$N$24</c:f>
              <c:strCache>
                <c:ptCount val="1"/>
                <c:pt idx="0">
                  <c:v>2026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MISM!$M$25:$M$38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MISM!$N$25:$N$38</c:f>
              <c:numCache>
                <c:formatCode>0.00%</c:formatCode>
                <c:ptCount val="14"/>
                <c:pt idx="2">
                  <c:v>0.14000000000000001</c:v>
                </c:pt>
                <c:pt idx="3">
                  <c:v>0.20619999999999999</c:v>
                </c:pt>
                <c:pt idx="4">
                  <c:v>0.25509999999999999</c:v>
                </c:pt>
                <c:pt idx="5">
                  <c:v>0.4078</c:v>
                </c:pt>
                <c:pt idx="6">
                  <c:v>0.4466</c:v>
                </c:pt>
                <c:pt idx="7">
                  <c:v>0.54459999999999997</c:v>
                </c:pt>
                <c:pt idx="8">
                  <c:v>0.66990000000000005</c:v>
                </c:pt>
                <c:pt idx="9">
                  <c:v>0.79120000000000001</c:v>
                </c:pt>
                <c:pt idx="10">
                  <c:v>0.81519999999999992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4A-40ED-A44B-45B4584CC0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</a:t>
            </a:r>
            <a:r>
              <a:rPr lang="en-US" baseline="0"/>
              <a:t> Placement %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NittyGrittySheet!$A$245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NittyGrittySheet!$B$244:$AL$244</c:f>
              <c:strCache>
                <c:ptCount val="37"/>
                <c:pt idx="0">
                  <c:v>10/13/2025</c:v>
                </c:pt>
                <c:pt idx="1">
                  <c:v>10/17/2025</c:v>
                </c:pt>
                <c:pt idx="2">
                  <c:v>10/24/2025</c:v>
                </c:pt>
                <c:pt idx="3">
                  <c:v>10/31/2025</c:v>
                </c:pt>
                <c:pt idx="4">
                  <c:v>11/7/2025</c:v>
                </c:pt>
                <c:pt idx="5">
                  <c:v>11/14/2025</c:v>
                </c:pt>
                <c:pt idx="6">
                  <c:v>11/21/2025</c:v>
                </c:pt>
                <c:pt idx="7">
                  <c:v>11/28/2025</c:v>
                </c:pt>
                <c:pt idx="8">
                  <c:v>12/5/2025</c:v>
                </c:pt>
                <c:pt idx="9">
                  <c:v>12/12/2025</c:v>
                </c:pt>
                <c:pt idx="10">
                  <c:v>12/19/2025</c:v>
                </c:pt>
                <c:pt idx="11">
                  <c:v>12/26/2025</c:v>
                </c:pt>
                <c:pt idx="12">
                  <c:v>1/2/2026</c:v>
                </c:pt>
                <c:pt idx="13">
                  <c:v>1/9/2026</c:v>
                </c:pt>
                <c:pt idx="14">
                  <c:v>1/16/2026</c:v>
                </c:pt>
                <c:pt idx="15">
                  <c:v>1/23/2026</c:v>
                </c:pt>
                <c:pt idx="16">
                  <c:v>1/30/2026</c:v>
                </c:pt>
                <c:pt idx="17">
                  <c:v>2/6/2026</c:v>
                </c:pt>
                <c:pt idx="18">
                  <c:v>2/13/2026</c:v>
                </c:pt>
                <c:pt idx="19">
                  <c:v>2/20/2026</c:v>
                </c:pt>
                <c:pt idx="20">
                  <c:v>2/27/2026</c:v>
                </c:pt>
                <c:pt idx="21">
                  <c:v>3/13/2026</c:v>
                </c:pt>
                <c:pt idx="22">
                  <c:v>3/20/2026</c:v>
                </c:pt>
                <c:pt idx="23">
                  <c:v>3/27/2026</c:v>
                </c:pt>
                <c:pt idx="24">
                  <c:v>4/3/2026</c:v>
                </c:pt>
                <c:pt idx="25">
                  <c:v>4/10/2026</c:v>
                </c:pt>
                <c:pt idx="26">
                  <c:v>4/17/2026</c:v>
                </c:pt>
                <c:pt idx="27">
                  <c:v>4/24/2026</c:v>
                </c:pt>
                <c:pt idx="28">
                  <c:v>5/1/2026</c:v>
                </c:pt>
                <c:pt idx="29">
                  <c:v>5/8/2026</c:v>
                </c:pt>
                <c:pt idx="30">
                  <c:v>5/15/2026</c:v>
                </c:pt>
                <c:pt idx="31">
                  <c:v>5/22/2026</c:v>
                </c:pt>
                <c:pt idx="32">
                  <c:v>05/29/2026</c:v>
                </c:pt>
                <c:pt idx="33">
                  <c:v>6/5/2026</c:v>
                </c:pt>
                <c:pt idx="34">
                  <c:v>6/12/2026</c:v>
                </c:pt>
                <c:pt idx="35">
                  <c:v>6/19/2026</c:v>
                </c:pt>
                <c:pt idx="36">
                  <c:v>6/26/2026</c:v>
                </c:pt>
              </c:strCache>
            </c:strRef>
          </c:cat>
          <c:val>
            <c:numRef>
              <c:f>NittyGrittySheet!$B$245:$AL$245</c:f>
              <c:numCache>
                <c:formatCode>0.00%</c:formatCode>
                <c:ptCount val="37"/>
                <c:pt idx="0">
                  <c:v>0.1188</c:v>
                </c:pt>
                <c:pt idx="1">
                  <c:v>0.12870000000000001</c:v>
                </c:pt>
                <c:pt idx="2">
                  <c:v>0.13</c:v>
                </c:pt>
                <c:pt idx="3">
                  <c:v>0.14000000000000001</c:v>
                </c:pt>
                <c:pt idx="4">
                  <c:v>0.14000000000000001</c:v>
                </c:pt>
                <c:pt idx="5">
                  <c:v>0.14000000000000001</c:v>
                </c:pt>
                <c:pt idx="6">
                  <c:v>0.17349999999999999</c:v>
                </c:pt>
                <c:pt idx="7">
                  <c:v>0.20619999999999999</c:v>
                </c:pt>
                <c:pt idx="8">
                  <c:v>0.20830000000000001</c:v>
                </c:pt>
                <c:pt idx="9">
                  <c:v>0.2165</c:v>
                </c:pt>
                <c:pt idx="10">
                  <c:v>0.24740000000000001</c:v>
                </c:pt>
                <c:pt idx="11">
                  <c:v>0.25509999999999999</c:v>
                </c:pt>
                <c:pt idx="12">
                  <c:v>0.25509999999999999</c:v>
                </c:pt>
                <c:pt idx="13">
                  <c:v>0.28570000000000001</c:v>
                </c:pt>
                <c:pt idx="14">
                  <c:v>0.34949999999999998</c:v>
                </c:pt>
                <c:pt idx="15">
                  <c:v>0.34949999999999998</c:v>
                </c:pt>
                <c:pt idx="16">
                  <c:v>0.4078</c:v>
                </c:pt>
                <c:pt idx="17">
                  <c:v>0.42309999999999998</c:v>
                </c:pt>
                <c:pt idx="18">
                  <c:v>0.43269999999999997</c:v>
                </c:pt>
                <c:pt idx="19">
                  <c:v>0.43690000000000001</c:v>
                </c:pt>
                <c:pt idx="20">
                  <c:v>0.4466</c:v>
                </c:pt>
                <c:pt idx="21">
                  <c:v>0.45629999999999998</c:v>
                </c:pt>
                <c:pt idx="22">
                  <c:v>0.47570000000000001</c:v>
                </c:pt>
                <c:pt idx="23">
                  <c:v>0.5</c:v>
                </c:pt>
                <c:pt idx="24">
                  <c:v>0.56000000000000005</c:v>
                </c:pt>
                <c:pt idx="25">
                  <c:v>0.65349999999999997</c:v>
                </c:pt>
                <c:pt idx="26">
                  <c:v>0.65690000000000004</c:v>
                </c:pt>
                <c:pt idx="27">
                  <c:v>0.66990000000000005</c:v>
                </c:pt>
                <c:pt idx="28">
                  <c:v>0.70299999999999996</c:v>
                </c:pt>
                <c:pt idx="29">
                  <c:v>0.73959999999999992</c:v>
                </c:pt>
                <c:pt idx="30">
                  <c:v>0.73959999999999992</c:v>
                </c:pt>
                <c:pt idx="31">
                  <c:v>0.76040000000000008</c:v>
                </c:pt>
                <c:pt idx="32">
                  <c:v>0.79120000000000001</c:v>
                </c:pt>
                <c:pt idx="33">
                  <c:v>0.79349999999999998</c:v>
                </c:pt>
                <c:pt idx="34">
                  <c:v>0.79349999999999998</c:v>
                </c:pt>
                <c:pt idx="35">
                  <c:v>0.79349999999999998</c:v>
                </c:pt>
                <c:pt idx="36">
                  <c:v>0.81519999999999992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EA-44CC-8C9F-AF03EC873A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</a:t>
                </a:r>
                <a:r>
                  <a:rPr lang="en-US" baseline="0"/>
                  <a:t> Seeking Students Placed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Search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NittyGrittySheet!$A$248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NittyGrittySheet!$B$247:$AL$247</c:f>
              <c:strCache>
                <c:ptCount val="37"/>
                <c:pt idx="0">
                  <c:v>10/13/2025</c:v>
                </c:pt>
                <c:pt idx="1">
                  <c:v>10/17/2025</c:v>
                </c:pt>
                <c:pt idx="2">
                  <c:v>10/24/2025</c:v>
                </c:pt>
                <c:pt idx="3">
                  <c:v>10/31/2025</c:v>
                </c:pt>
                <c:pt idx="4">
                  <c:v>11/7/2025</c:v>
                </c:pt>
                <c:pt idx="5">
                  <c:v>11/14/2025</c:v>
                </c:pt>
                <c:pt idx="6">
                  <c:v>11/21/2025</c:v>
                </c:pt>
                <c:pt idx="7">
                  <c:v>11/28/2025</c:v>
                </c:pt>
                <c:pt idx="8">
                  <c:v>12/5/2025</c:v>
                </c:pt>
                <c:pt idx="9">
                  <c:v>12/12/2025</c:v>
                </c:pt>
                <c:pt idx="10">
                  <c:v>12/19/2025</c:v>
                </c:pt>
                <c:pt idx="11">
                  <c:v>12/26/2025</c:v>
                </c:pt>
                <c:pt idx="12">
                  <c:v>1/2/2026</c:v>
                </c:pt>
                <c:pt idx="13">
                  <c:v>1/9/2026</c:v>
                </c:pt>
                <c:pt idx="14">
                  <c:v>1/16/2026</c:v>
                </c:pt>
                <c:pt idx="15">
                  <c:v>1/23/2026</c:v>
                </c:pt>
                <c:pt idx="16">
                  <c:v>1/30/2026</c:v>
                </c:pt>
                <c:pt idx="17">
                  <c:v>2/6/2026</c:v>
                </c:pt>
                <c:pt idx="18">
                  <c:v>2/13/2026</c:v>
                </c:pt>
                <c:pt idx="19">
                  <c:v>2/20/2026</c:v>
                </c:pt>
                <c:pt idx="20">
                  <c:v>2/27/2026</c:v>
                </c:pt>
                <c:pt idx="21">
                  <c:v>3/13/2026</c:v>
                </c:pt>
                <c:pt idx="22">
                  <c:v>3/20/2026</c:v>
                </c:pt>
                <c:pt idx="23">
                  <c:v>3/27/2026</c:v>
                </c:pt>
                <c:pt idx="24">
                  <c:v>4/3/2026</c:v>
                </c:pt>
                <c:pt idx="25">
                  <c:v>4/10/2026</c:v>
                </c:pt>
                <c:pt idx="26">
                  <c:v>4/17/2026</c:v>
                </c:pt>
                <c:pt idx="27">
                  <c:v>4/24/2026</c:v>
                </c:pt>
                <c:pt idx="28">
                  <c:v>5/1/2026</c:v>
                </c:pt>
                <c:pt idx="29">
                  <c:v>5/8/2026</c:v>
                </c:pt>
                <c:pt idx="30">
                  <c:v>5/15/2026</c:v>
                </c:pt>
                <c:pt idx="31">
                  <c:v>5/22/2026</c:v>
                </c:pt>
                <c:pt idx="32">
                  <c:v>05/29/2026</c:v>
                </c:pt>
                <c:pt idx="33">
                  <c:v>6/5/2026</c:v>
                </c:pt>
                <c:pt idx="34">
                  <c:v>6/12/2026</c:v>
                </c:pt>
                <c:pt idx="35">
                  <c:v>6/19/2026</c:v>
                </c:pt>
                <c:pt idx="36">
                  <c:v>6/26/2026</c:v>
                </c:pt>
              </c:strCache>
            </c:strRef>
          </c:cat>
          <c:val>
            <c:numRef>
              <c:f>NittyGrittySheet!$B$248:$AL$248</c:f>
              <c:numCache>
                <c:formatCode>General</c:formatCode>
                <c:ptCount val="37"/>
                <c:pt idx="0">
                  <c:v>12</c:v>
                </c:pt>
                <c:pt idx="1">
                  <c:v>13</c:v>
                </c:pt>
                <c:pt idx="2">
                  <c:v>13</c:v>
                </c:pt>
                <c:pt idx="3">
                  <c:v>14</c:v>
                </c:pt>
                <c:pt idx="4">
                  <c:v>14</c:v>
                </c:pt>
                <c:pt idx="5">
                  <c:v>14</c:v>
                </c:pt>
                <c:pt idx="6">
                  <c:v>17</c:v>
                </c:pt>
                <c:pt idx="7">
                  <c:v>20</c:v>
                </c:pt>
                <c:pt idx="8">
                  <c:v>20</c:v>
                </c:pt>
                <c:pt idx="9">
                  <c:v>21</c:v>
                </c:pt>
                <c:pt idx="10">
                  <c:v>24</c:v>
                </c:pt>
                <c:pt idx="11">
                  <c:v>25</c:v>
                </c:pt>
                <c:pt idx="12">
                  <c:v>25</c:v>
                </c:pt>
                <c:pt idx="13">
                  <c:v>28</c:v>
                </c:pt>
                <c:pt idx="14">
                  <c:v>36</c:v>
                </c:pt>
                <c:pt idx="15">
                  <c:v>36</c:v>
                </c:pt>
                <c:pt idx="16">
                  <c:v>42</c:v>
                </c:pt>
                <c:pt idx="17">
                  <c:v>44</c:v>
                </c:pt>
                <c:pt idx="18">
                  <c:v>45</c:v>
                </c:pt>
                <c:pt idx="19">
                  <c:v>45</c:v>
                </c:pt>
                <c:pt idx="20">
                  <c:v>46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56</c:v>
                </c:pt>
                <c:pt idx="25">
                  <c:v>66</c:v>
                </c:pt>
                <c:pt idx="26">
                  <c:v>67</c:v>
                </c:pt>
                <c:pt idx="27">
                  <c:v>69</c:v>
                </c:pt>
                <c:pt idx="28">
                  <c:v>71</c:v>
                </c:pt>
                <c:pt idx="29">
                  <c:v>71</c:v>
                </c:pt>
                <c:pt idx="30">
                  <c:v>71</c:v>
                </c:pt>
                <c:pt idx="31">
                  <c:v>73</c:v>
                </c:pt>
                <c:pt idx="32">
                  <c:v>72</c:v>
                </c:pt>
                <c:pt idx="33">
                  <c:v>73</c:v>
                </c:pt>
                <c:pt idx="34">
                  <c:v>73</c:v>
                </c:pt>
                <c:pt idx="35">
                  <c:v>73</c:v>
                </c:pt>
                <c:pt idx="36">
                  <c:v>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33-49AA-9C5A-4E0E2556110D}"/>
            </c:ext>
          </c:extLst>
        </c:ser>
        <c:ser>
          <c:idx val="1"/>
          <c:order val="1"/>
          <c:tx>
            <c:strRef>
              <c:f>NittyGrittySheet!$A$249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NittyGrittySheet!$B$247:$AL$247</c:f>
              <c:strCache>
                <c:ptCount val="37"/>
                <c:pt idx="0">
                  <c:v>10/13/2025</c:v>
                </c:pt>
                <c:pt idx="1">
                  <c:v>10/17/2025</c:v>
                </c:pt>
                <c:pt idx="2">
                  <c:v>10/24/2025</c:v>
                </c:pt>
                <c:pt idx="3">
                  <c:v>10/31/2025</c:v>
                </c:pt>
                <c:pt idx="4">
                  <c:v>11/7/2025</c:v>
                </c:pt>
                <c:pt idx="5">
                  <c:v>11/14/2025</c:v>
                </c:pt>
                <c:pt idx="6">
                  <c:v>11/21/2025</c:v>
                </c:pt>
                <c:pt idx="7">
                  <c:v>11/28/2025</c:v>
                </c:pt>
                <c:pt idx="8">
                  <c:v>12/5/2025</c:v>
                </c:pt>
                <c:pt idx="9">
                  <c:v>12/12/2025</c:v>
                </c:pt>
                <c:pt idx="10">
                  <c:v>12/19/2025</c:v>
                </c:pt>
                <c:pt idx="11">
                  <c:v>12/26/2025</c:v>
                </c:pt>
                <c:pt idx="12">
                  <c:v>1/2/2026</c:v>
                </c:pt>
                <c:pt idx="13">
                  <c:v>1/9/2026</c:v>
                </c:pt>
                <c:pt idx="14">
                  <c:v>1/16/2026</c:v>
                </c:pt>
                <c:pt idx="15">
                  <c:v>1/23/2026</c:v>
                </c:pt>
                <c:pt idx="16">
                  <c:v>1/30/2026</c:v>
                </c:pt>
                <c:pt idx="17">
                  <c:v>2/6/2026</c:v>
                </c:pt>
                <c:pt idx="18">
                  <c:v>2/13/2026</c:v>
                </c:pt>
                <c:pt idx="19">
                  <c:v>2/20/2026</c:v>
                </c:pt>
                <c:pt idx="20">
                  <c:v>2/27/2026</c:v>
                </c:pt>
                <c:pt idx="21">
                  <c:v>3/13/2026</c:v>
                </c:pt>
                <c:pt idx="22">
                  <c:v>3/20/2026</c:v>
                </c:pt>
                <c:pt idx="23">
                  <c:v>3/27/2026</c:v>
                </c:pt>
                <c:pt idx="24">
                  <c:v>4/3/2026</c:v>
                </c:pt>
                <c:pt idx="25">
                  <c:v>4/10/2026</c:v>
                </c:pt>
                <c:pt idx="26">
                  <c:v>4/17/2026</c:v>
                </c:pt>
                <c:pt idx="27">
                  <c:v>4/24/2026</c:v>
                </c:pt>
                <c:pt idx="28">
                  <c:v>5/1/2026</c:v>
                </c:pt>
                <c:pt idx="29">
                  <c:v>5/8/2026</c:v>
                </c:pt>
                <c:pt idx="30">
                  <c:v>5/15/2026</c:v>
                </c:pt>
                <c:pt idx="31">
                  <c:v>5/22/2026</c:v>
                </c:pt>
                <c:pt idx="32">
                  <c:v>05/29/2026</c:v>
                </c:pt>
                <c:pt idx="33">
                  <c:v>6/5/2026</c:v>
                </c:pt>
                <c:pt idx="34">
                  <c:v>6/12/2026</c:v>
                </c:pt>
                <c:pt idx="35">
                  <c:v>6/19/2026</c:v>
                </c:pt>
                <c:pt idx="36">
                  <c:v>6/26/2026</c:v>
                </c:pt>
              </c:strCache>
            </c:strRef>
          </c:cat>
          <c:val>
            <c:numRef>
              <c:f>NittyGrittySheet!$B$249:$AL$249</c:f>
              <c:numCache>
                <c:formatCode>General</c:formatCode>
                <c:ptCount val="37"/>
                <c:pt idx="0">
                  <c:v>51</c:v>
                </c:pt>
                <c:pt idx="1">
                  <c:v>51</c:v>
                </c:pt>
                <c:pt idx="2">
                  <c:v>50</c:v>
                </c:pt>
                <c:pt idx="3">
                  <c:v>50</c:v>
                </c:pt>
                <c:pt idx="4">
                  <c:v>52</c:v>
                </c:pt>
                <c:pt idx="5">
                  <c:v>54</c:v>
                </c:pt>
                <c:pt idx="6">
                  <c:v>56</c:v>
                </c:pt>
                <c:pt idx="7">
                  <c:v>59</c:v>
                </c:pt>
                <c:pt idx="8">
                  <c:v>58</c:v>
                </c:pt>
                <c:pt idx="9">
                  <c:v>58</c:v>
                </c:pt>
                <c:pt idx="10">
                  <c:v>56</c:v>
                </c:pt>
                <c:pt idx="11">
                  <c:v>55</c:v>
                </c:pt>
                <c:pt idx="12">
                  <c:v>55</c:v>
                </c:pt>
                <c:pt idx="13">
                  <c:v>52</c:v>
                </c:pt>
                <c:pt idx="14">
                  <c:v>54</c:v>
                </c:pt>
                <c:pt idx="15">
                  <c:v>59</c:v>
                </c:pt>
                <c:pt idx="16">
                  <c:v>57</c:v>
                </c:pt>
                <c:pt idx="17">
                  <c:v>58</c:v>
                </c:pt>
                <c:pt idx="18">
                  <c:v>57</c:v>
                </c:pt>
                <c:pt idx="19">
                  <c:v>56</c:v>
                </c:pt>
                <c:pt idx="20">
                  <c:v>55</c:v>
                </c:pt>
                <c:pt idx="21">
                  <c:v>54</c:v>
                </c:pt>
                <c:pt idx="22">
                  <c:v>52</c:v>
                </c:pt>
                <c:pt idx="23">
                  <c:v>50</c:v>
                </c:pt>
                <c:pt idx="24">
                  <c:v>43</c:v>
                </c:pt>
                <c:pt idx="25">
                  <c:v>34</c:v>
                </c:pt>
                <c:pt idx="26">
                  <c:v>35</c:v>
                </c:pt>
                <c:pt idx="27">
                  <c:v>34</c:v>
                </c:pt>
                <c:pt idx="28">
                  <c:v>30</c:v>
                </c:pt>
                <c:pt idx="29">
                  <c:v>25</c:v>
                </c:pt>
                <c:pt idx="30">
                  <c:v>25</c:v>
                </c:pt>
                <c:pt idx="31">
                  <c:v>23</c:v>
                </c:pt>
                <c:pt idx="32">
                  <c:v>19</c:v>
                </c:pt>
                <c:pt idx="33">
                  <c:v>19</c:v>
                </c:pt>
                <c:pt idx="34">
                  <c:v>19</c:v>
                </c:pt>
                <c:pt idx="35">
                  <c:v>19</c:v>
                </c:pt>
                <c:pt idx="36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33-49AA-9C5A-4E0E2556110D}"/>
            </c:ext>
          </c:extLst>
        </c:ser>
        <c:ser>
          <c:idx val="3"/>
          <c:order val="3"/>
          <c:tx>
            <c:strRef>
              <c:f>NittyGrittySheet!$A$251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NittyGrittySheet!$B$247:$AL$247</c:f>
              <c:strCache>
                <c:ptCount val="37"/>
                <c:pt idx="0">
                  <c:v>10/13/2025</c:v>
                </c:pt>
                <c:pt idx="1">
                  <c:v>10/17/2025</c:v>
                </c:pt>
                <c:pt idx="2">
                  <c:v>10/24/2025</c:v>
                </c:pt>
                <c:pt idx="3">
                  <c:v>10/31/2025</c:v>
                </c:pt>
                <c:pt idx="4">
                  <c:v>11/7/2025</c:v>
                </c:pt>
                <c:pt idx="5">
                  <c:v>11/14/2025</c:v>
                </c:pt>
                <c:pt idx="6">
                  <c:v>11/21/2025</c:v>
                </c:pt>
                <c:pt idx="7">
                  <c:v>11/28/2025</c:v>
                </c:pt>
                <c:pt idx="8">
                  <c:v>12/5/2025</c:v>
                </c:pt>
                <c:pt idx="9">
                  <c:v>12/12/2025</c:v>
                </c:pt>
                <c:pt idx="10">
                  <c:v>12/19/2025</c:v>
                </c:pt>
                <c:pt idx="11">
                  <c:v>12/26/2025</c:v>
                </c:pt>
                <c:pt idx="12">
                  <c:v>1/2/2026</c:v>
                </c:pt>
                <c:pt idx="13">
                  <c:v>1/9/2026</c:v>
                </c:pt>
                <c:pt idx="14">
                  <c:v>1/16/2026</c:v>
                </c:pt>
                <c:pt idx="15">
                  <c:v>1/23/2026</c:v>
                </c:pt>
                <c:pt idx="16">
                  <c:v>1/30/2026</c:v>
                </c:pt>
                <c:pt idx="17">
                  <c:v>2/6/2026</c:v>
                </c:pt>
                <c:pt idx="18">
                  <c:v>2/13/2026</c:v>
                </c:pt>
                <c:pt idx="19">
                  <c:v>2/20/2026</c:v>
                </c:pt>
                <c:pt idx="20">
                  <c:v>2/27/2026</c:v>
                </c:pt>
                <c:pt idx="21">
                  <c:v>3/13/2026</c:v>
                </c:pt>
                <c:pt idx="22">
                  <c:v>3/20/2026</c:v>
                </c:pt>
                <c:pt idx="23">
                  <c:v>3/27/2026</c:v>
                </c:pt>
                <c:pt idx="24">
                  <c:v>4/3/2026</c:v>
                </c:pt>
                <c:pt idx="25">
                  <c:v>4/10/2026</c:v>
                </c:pt>
                <c:pt idx="26">
                  <c:v>4/17/2026</c:v>
                </c:pt>
                <c:pt idx="27">
                  <c:v>4/24/2026</c:v>
                </c:pt>
                <c:pt idx="28">
                  <c:v>5/1/2026</c:v>
                </c:pt>
                <c:pt idx="29">
                  <c:v>5/8/2026</c:v>
                </c:pt>
                <c:pt idx="30">
                  <c:v>5/15/2026</c:v>
                </c:pt>
                <c:pt idx="31">
                  <c:v>5/22/2026</c:v>
                </c:pt>
                <c:pt idx="32">
                  <c:v>05/29/2026</c:v>
                </c:pt>
                <c:pt idx="33">
                  <c:v>6/5/2026</c:v>
                </c:pt>
                <c:pt idx="34">
                  <c:v>6/12/2026</c:v>
                </c:pt>
                <c:pt idx="35">
                  <c:v>6/19/2026</c:v>
                </c:pt>
                <c:pt idx="36">
                  <c:v>6/26/2026</c:v>
                </c:pt>
              </c:strCache>
            </c:strRef>
          </c:cat>
          <c:val>
            <c:numRef>
              <c:f>NittyGrittySheet!$B$251:$AL$251</c:f>
              <c:numCache>
                <c:formatCode>General</c:formatCode>
                <c:ptCount val="37"/>
                <c:pt idx="0">
                  <c:v>38</c:v>
                </c:pt>
                <c:pt idx="1">
                  <c:v>37</c:v>
                </c:pt>
                <c:pt idx="2">
                  <c:v>37</c:v>
                </c:pt>
                <c:pt idx="3">
                  <c:v>36</c:v>
                </c:pt>
                <c:pt idx="4">
                  <c:v>34</c:v>
                </c:pt>
                <c:pt idx="5">
                  <c:v>32</c:v>
                </c:pt>
                <c:pt idx="6">
                  <c:v>25</c:v>
                </c:pt>
                <c:pt idx="7">
                  <c:v>18</c:v>
                </c:pt>
                <c:pt idx="8">
                  <c:v>18</c:v>
                </c:pt>
                <c:pt idx="9">
                  <c:v>18</c:v>
                </c:pt>
                <c:pt idx="10">
                  <c:v>17</c:v>
                </c:pt>
                <c:pt idx="11">
                  <c:v>18</c:v>
                </c:pt>
                <c:pt idx="12">
                  <c:v>18</c:v>
                </c:pt>
                <c:pt idx="13">
                  <c:v>18</c:v>
                </c:pt>
                <c:pt idx="14">
                  <c:v>13</c:v>
                </c:pt>
                <c:pt idx="15">
                  <c:v>8</c:v>
                </c:pt>
                <c:pt idx="16">
                  <c:v>4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33-49AA-9C5A-4E0E255611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NittyGrittySheet!$A$250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NittyGrittySheet!$B$247:$AL$247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NittyGrittySheet!$B$250:$AL$250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FB33-49AA-9C5A-4E0E2556110D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NittyGrittySheet!$A$252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NittyGrittySheet!$B$247:$AL$247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NittyGrittySheet!$B$252:$AL$252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3</c:v>
                      </c:pt>
                      <c:pt idx="8">
                        <c:v>3</c:v>
                      </c:pt>
                      <c:pt idx="9">
                        <c:v>3</c:v>
                      </c:pt>
                      <c:pt idx="10">
                        <c:v>3</c:v>
                      </c:pt>
                      <c:pt idx="11">
                        <c:v>3</c:v>
                      </c:pt>
                      <c:pt idx="12">
                        <c:v>3</c:v>
                      </c:pt>
                      <c:pt idx="13">
                        <c:v>4</c:v>
                      </c:pt>
                      <c:pt idx="14">
                        <c:v>2</c:v>
                      </c:pt>
                      <c:pt idx="15">
                        <c:v>2</c:v>
                      </c:pt>
                      <c:pt idx="16">
                        <c:v>2</c:v>
                      </c:pt>
                      <c:pt idx="17">
                        <c:v>2</c:v>
                      </c:pt>
                      <c:pt idx="18">
                        <c:v>2</c:v>
                      </c:pt>
                      <c:pt idx="19">
                        <c:v>2</c:v>
                      </c:pt>
                      <c:pt idx="20">
                        <c:v>2</c:v>
                      </c:pt>
                      <c:pt idx="21">
                        <c:v>2</c:v>
                      </c:pt>
                      <c:pt idx="22">
                        <c:v>2</c:v>
                      </c:pt>
                      <c:pt idx="23">
                        <c:v>2</c:v>
                      </c:pt>
                      <c:pt idx="24">
                        <c:v>2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2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FB33-49AA-9C5A-4E0E2556110D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NittyGrittySheet!$A$253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NittyGrittySheet!$B$247:$AL$247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NittyGrittySheet!$B$253:$AL$253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FB33-49AA-9C5A-4E0E2556110D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NittyGrittySheet!$A$254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NittyGrittySheet!$B$247:$AL$247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NittyGrittySheet!$B$254:$AL$254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2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FB33-49AA-9C5A-4E0E2556110D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NittyGrittySheet!$A$255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NittyGrittySheet!$B$247:$AL$247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NittyGrittySheet!$B$255:$AL$255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2</c:v>
                      </c:pt>
                      <c:pt idx="29">
                        <c:v>5</c:v>
                      </c:pt>
                      <c:pt idx="30">
                        <c:v>5</c:v>
                      </c:pt>
                      <c:pt idx="31">
                        <c:v>5</c:v>
                      </c:pt>
                      <c:pt idx="32">
                        <c:v>6</c:v>
                      </c:pt>
                      <c:pt idx="33">
                        <c:v>6</c:v>
                      </c:pt>
                      <c:pt idx="34">
                        <c:v>6</c:v>
                      </c:pt>
                      <c:pt idx="35">
                        <c:v>6</c:v>
                      </c:pt>
                      <c:pt idx="36">
                        <c:v>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FB33-49AA-9C5A-4E0E2556110D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NittyGrittySheet!$A$256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NittyGrittySheet!$B$247:$AL$247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NittyGrittySheet!$B$256:$AL$256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FB33-49AA-9C5A-4E0E2556110D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NittyGrittySheet!$A$257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NittyGrittySheet!$B$247:$AL$247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NittyGrittySheet!$B$257:$AL$257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1</c:v>
                      </c:pt>
                      <c:pt idx="7">
                        <c:v>2</c:v>
                      </c:pt>
                      <c:pt idx="8">
                        <c:v>3</c:v>
                      </c:pt>
                      <c:pt idx="9">
                        <c:v>3</c:v>
                      </c:pt>
                      <c:pt idx="10">
                        <c:v>3</c:v>
                      </c:pt>
                      <c:pt idx="11">
                        <c:v>3</c:v>
                      </c:pt>
                      <c:pt idx="12">
                        <c:v>3</c:v>
                      </c:pt>
                      <c:pt idx="13">
                        <c:v>3</c:v>
                      </c:pt>
                      <c:pt idx="14">
                        <c:v>3</c:v>
                      </c:pt>
                      <c:pt idx="15">
                        <c:v>3</c:v>
                      </c:pt>
                      <c:pt idx="16">
                        <c:v>3</c:v>
                      </c:pt>
                      <c:pt idx="17">
                        <c:v>3</c:v>
                      </c:pt>
                      <c:pt idx="18">
                        <c:v>3</c:v>
                      </c:pt>
                      <c:pt idx="19">
                        <c:v>4</c:v>
                      </c:pt>
                      <c:pt idx="20">
                        <c:v>4</c:v>
                      </c:pt>
                      <c:pt idx="21">
                        <c:v>4</c:v>
                      </c:pt>
                      <c:pt idx="22">
                        <c:v>4</c:v>
                      </c:pt>
                      <c:pt idx="23">
                        <c:v>4</c:v>
                      </c:pt>
                      <c:pt idx="24">
                        <c:v>4</c:v>
                      </c:pt>
                      <c:pt idx="25">
                        <c:v>4</c:v>
                      </c:pt>
                      <c:pt idx="26">
                        <c:v>3</c:v>
                      </c:pt>
                      <c:pt idx="27">
                        <c:v>3</c:v>
                      </c:pt>
                      <c:pt idx="28">
                        <c:v>4</c:v>
                      </c:pt>
                      <c:pt idx="29">
                        <c:v>5</c:v>
                      </c:pt>
                      <c:pt idx="30">
                        <c:v>5</c:v>
                      </c:pt>
                      <c:pt idx="31">
                        <c:v>5</c:v>
                      </c:pt>
                      <c:pt idx="32">
                        <c:v>5</c:v>
                      </c:pt>
                      <c:pt idx="33">
                        <c:v>5</c:v>
                      </c:pt>
                      <c:pt idx="34">
                        <c:v>5</c:v>
                      </c:pt>
                      <c:pt idx="35">
                        <c:v>5</c:v>
                      </c:pt>
                      <c:pt idx="36">
                        <c:v>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FB33-49AA-9C5A-4E0E2556110D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NittyGrittySheet!$A$258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NittyGrittySheet!$B$247:$AL$247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NittyGrittySheet!$B$258:$AL$258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103</c:v>
                      </c:pt>
                      <c:pt idx="1">
                        <c:v>103</c:v>
                      </c:pt>
                      <c:pt idx="2">
                        <c:v>103</c:v>
                      </c:pt>
                      <c:pt idx="3">
                        <c:v>103</c:v>
                      </c:pt>
                      <c:pt idx="4">
                        <c:v>103</c:v>
                      </c:pt>
                      <c:pt idx="5">
                        <c:v>103</c:v>
                      </c:pt>
                      <c:pt idx="6">
                        <c:v>102</c:v>
                      </c:pt>
                      <c:pt idx="7">
                        <c:v>102</c:v>
                      </c:pt>
                      <c:pt idx="8">
                        <c:v>102</c:v>
                      </c:pt>
                      <c:pt idx="9">
                        <c:v>103</c:v>
                      </c:pt>
                      <c:pt idx="10">
                        <c:v>103</c:v>
                      </c:pt>
                      <c:pt idx="11">
                        <c:v>104</c:v>
                      </c:pt>
                      <c:pt idx="12">
                        <c:v>104</c:v>
                      </c:pt>
                      <c:pt idx="13">
                        <c:v>105</c:v>
                      </c:pt>
                      <c:pt idx="14">
                        <c:v>108</c:v>
                      </c:pt>
                      <c:pt idx="15">
                        <c:v>108</c:v>
                      </c:pt>
                      <c:pt idx="16">
                        <c:v>108</c:v>
                      </c:pt>
                      <c:pt idx="17">
                        <c:v>109</c:v>
                      </c:pt>
                      <c:pt idx="18">
                        <c:v>109</c:v>
                      </c:pt>
                      <c:pt idx="19">
                        <c:v>109</c:v>
                      </c:pt>
                      <c:pt idx="20">
                        <c:v>109</c:v>
                      </c:pt>
                      <c:pt idx="21">
                        <c:v>109</c:v>
                      </c:pt>
                      <c:pt idx="22">
                        <c:v>109</c:v>
                      </c:pt>
                      <c:pt idx="23">
                        <c:v>109</c:v>
                      </c:pt>
                      <c:pt idx="24">
                        <c:v>108</c:v>
                      </c:pt>
                      <c:pt idx="25">
                        <c:v>108</c:v>
                      </c:pt>
                      <c:pt idx="26">
                        <c:v>108</c:v>
                      </c:pt>
                      <c:pt idx="27">
                        <c:v>109</c:v>
                      </c:pt>
                      <c:pt idx="28">
                        <c:v>109</c:v>
                      </c:pt>
                      <c:pt idx="29">
                        <c:v>108</c:v>
                      </c:pt>
                      <c:pt idx="30">
                        <c:v>108</c:v>
                      </c:pt>
                      <c:pt idx="31">
                        <c:v>108</c:v>
                      </c:pt>
                      <c:pt idx="32">
                        <c:v>106</c:v>
                      </c:pt>
                      <c:pt idx="33">
                        <c:v>107</c:v>
                      </c:pt>
                      <c:pt idx="34">
                        <c:v>107</c:v>
                      </c:pt>
                      <c:pt idx="35">
                        <c:v>107</c:v>
                      </c:pt>
                      <c:pt idx="36">
                        <c:v>107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FB33-49AA-9C5A-4E0E2556110D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% Placed 5 Year Summary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MPA!$O$24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MPA!$M$25:$M$38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MPA!$O$25:$O$38</c:f>
              <c:numCache>
                <c:formatCode>0.00%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6.6699999999999995E-2</c:v>
                </c:pt>
                <c:pt idx="4">
                  <c:v>0.1</c:v>
                </c:pt>
                <c:pt idx="5">
                  <c:v>0.1333</c:v>
                </c:pt>
                <c:pt idx="6">
                  <c:v>0.2</c:v>
                </c:pt>
                <c:pt idx="7">
                  <c:v>0.3</c:v>
                </c:pt>
                <c:pt idx="8">
                  <c:v>0.5</c:v>
                </c:pt>
                <c:pt idx="9">
                  <c:v>0.63329999999999997</c:v>
                </c:pt>
                <c:pt idx="10">
                  <c:v>0.73329999999999995</c:v>
                </c:pt>
                <c:pt idx="11">
                  <c:v>0.8</c:v>
                </c:pt>
                <c:pt idx="12">
                  <c:v>0.83330000000000004</c:v>
                </c:pt>
                <c:pt idx="13">
                  <c:v>0.86670000000000003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D2-4C5A-B570-9CE50308C258}"/>
            </c:ext>
          </c:extLst>
        </c:ser>
        <c:ser>
          <c:idx val="2"/>
          <c:order val="1"/>
          <c:tx>
            <c:strRef>
              <c:f>MPA!$P$24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MPA!$M$25:$M$38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MPA!$P$25:$P$38</c:f>
              <c:numCache>
                <c:formatCode>0.00%</c:formatCode>
                <c:ptCount val="14"/>
                <c:pt idx="0">
                  <c:v>9.0899999999999995E-2</c:v>
                </c:pt>
                <c:pt idx="1">
                  <c:v>9.0899999999999995E-2</c:v>
                </c:pt>
                <c:pt idx="2">
                  <c:v>0.1212</c:v>
                </c:pt>
                <c:pt idx="3">
                  <c:v>0.1212</c:v>
                </c:pt>
                <c:pt idx="4">
                  <c:v>0.1515</c:v>
                </c:pt>
                <c:pt idx="5">
                  <c:v>0.21210000000000001</c:v>
                </c:pt>
                <c:pt idx="6">
                  <c:v>0.2727</c:v>
                </c:pt>
                <c:pt idx="7">
                  <c:v>0.51519999999999999</c:v>
                </c:pt>
                <c:pt idx="8">
                  <c:v>0.66669999999999996</c:v>
                </c:pt>
                <c:pt idx="9">
                  <c:v>0.75760000000000005</c:v>
                </c:pt>
                <c:pt idx="10">
                  <c:v>0.81820000000000004</c:v>
                </c:pt>
                <c:pt idx="11">
                  <c:v>0.87880000000000003</c:v>
                </c:pt>
                <c:pt idx="12">
                  <c:v>0.90910000000000002</c:v>
                </c:pt>
                <c:pt idx="13">
                  <c:v>0.90910000000000002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51D2-4C5A-B570-9CE50308C258}"/>
            </c:ext>
          </c:extLst>
        </c:ser>
        <c:ser>
          <c:idx val="3"/>
          <c:order val="2"/>
          <c:tx>
            <c:strRef>
              <c:f>MPA!$Q$24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MPA!$M$25:$M$38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MPA!$Q$25:$Q$38</c:f>
              <c:numCache>
                <c:formatCode>0.00%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3.3300000000000003E-2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0.1333</c:v>
                </c:pt>
                <c:pt idx="7">
                  <c:v>0.26669999999999999</c:v>
                </c:pt>
                <c:pt idx="8">
                  <c:v>0.43330000000000002</c:v>
                </c:pt>
                <c:pt idx="9">
                  <c:v>0.43330000000000002</c:v>
                </c:pt>
                <c:pt idx="10">
                  <c:v>0.7</c:v>
                </c:pt>
                <c:pt idx="11">
                  <c:v>0.7</c:v>
                </c:pt>
                <c:pt idx="12">
                  <c:v>0.73329999999999995</c:v>
                </c:pt>
                <c:pt idx="13">
                  <c:v>0.73329999999999995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51D2-4C5A-B570-9CE50308C258}"/>
            </c:ext>
          </c:extLst>
        </c:ser>
        <c:ser>
          <c:idx val="4"/>
          <c:order val="3"/>
          <c:tx>
            <c:strRef>
              <c:f>MPA!$R$24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MPA!$M$25:$M$38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MPA!$R$25:$R$38</c:f>
              <c:numCache>
                <c:formatCode>0.00%</c:formatCode>
                <c:ptCount val="14"/>
                <c:pt idx="0">
                  <c:v>2.9399999999999999E-2</c:v>
                </c:pt>
                <c:pt idx="1">
                  <c:v>2.9399999999999999E-2</c:v>
                </c:pt>
                <c:pt idx="2">
                  <c:v>2.9399999999999999E-2</c:v>
                </c:pt>
                <c:pt idx="3">
                  <c:v>5.8799999999999998E-2</c:v>
                </c:pt>
                <c:pt idx="4">
                  <c:v>0.1176</c:v>
                </c:pt>
                <c:pt idx="5">
                  <c:v>0.17649999999999999</c:v>
                </c:pt>
                <c:pt idx="6">
                  <c:v>0.26469999999999999</c:v>
                </c:pt>
                <c:pt idx="7">
                  <c:v>0.38240000000000002</c:v>
                </c:pt>
                <c:pt idx="8">
                  <c:v>0.47060000000000002</c:v>
                </c:pt>
                <c:pt idx="9">
                  <c:v>0.52939999999999998</c:v>
                </c:pt>
                <c:pt idx="10">
                  <c:v>0.79410000000000003</c:v>
                </c:pt>
                <c:pt idx="11">
                  <c:v>0.91180000000000005</c:v>
                </c:pt>
                <c:pt idx="12">
                  <c:v>0.91180000000000005</c:v>
                </c:pt>
                <c:pt idx="13">
                  <c:v>0.91180000000000005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51D2-4C5A-B570-9CE50308C258}"/>
            </c:ext>
          </c:extLst>
        </c:ser>
        <c:ser>
          <c:idx val="5"/>
          <c:order val="4"/>
          <c:tx>
            <c:strRef>
              <c:f>MPA!$S$24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MPA!$M$25:$M$38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MPA!$S$25:$S$38</c:f>
              <c:numCache>
                <c:formatCode>0.00%</c:formatCode>
                <c:ptCount val="14"/>
                <c:pt idx="0">
                  <c:v>0</c:v>
                </c:pt>
                <c:pt idx="1">
                  <c:v>2.5000000000000001E-2</c:v>
                </c:pt>
                <c:pt idx="2">
                  <c:v>2.5000000000000001E-2</c:v>
                </c:pt>
                <c:pt idx="3">
                  <c:v>2.5000000000000001E-2</c:v>
                </c:pt>
                <c:pt idx="4">
                  <c:v>7.4999999999999997E-2</c:v>
                </c:pt>
                <c:pt idx="5">
                  <c:v>7.4999999999999997E-2</c:v>
                </c:pt>
                <c:pt idx="6">
                  <c:v>0.1</c:v>
                </c:pt>
                <c:pt idx="7">
                  <c:v>0.32500000000000001</c:v>
                </c:pt>
                <c:pt idx="8">
                  <c:v>0.57499999999999996</c:v>
                </c:pt>
                <c:pt idx="9">
                  <c:v>0.65</c:v>
                </c:pt>
                <c:pt idx="10">
                  <c:v>0.72499999999999998</c:v>
                </c:pt>
                <c:pt idx="11">
                  <c:v>0.77500000000000002</c:v>
                </c:pt>
                <c:pt idx="12">
                  <c:v>0.8</c:v>
                </c:pt>
                <c:pt idx="13">
                  <c:v>0.8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51D2-4C5A-B570-9CE50308C258}"/>
            </c:ext>
          </c:extLst>
        </c:ser>
        <c:ser>
          <c:idx val="0"/>
          <c:order val="5"/>
          <c:tx>
            <c:strRef>
              <c:f>MPA!$N$24</c:f>
              <c:strCache>
                <c:ptCount val="1"/>
                <c:pt idx="0">
                  <c:v>2026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MPA!$M$25:$M$38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MPA!$N$25:$N$38</c:f>
              <c:numCache>
                <c:formatCode>0.00%</c:formatCode>
                <c:ptCount val="14"/>
                <c:pt idx="2">
                  <c:v>2.9399999999999999E-2</c:v>
                </c:pt>
                <c:pt idx="3">
                  <c:v>2.9399999999999999E-2</c:v>
                </c:pt>
                <c:pt idx="4">
                  <c:v>6.25E-2</c:v>
                </c:pt>
                <c:pt idx="5">
                  <c:v>6.4500000000000002E-2</c:v>
                </c:pt>
                <c:pt idx="6">
                  <c:v>0.1515</c:v>
                </c:pt>
                <c:pt idx="7">
                  <c:v>0.25</c:v>
                </c:pt>
                <c:pt idx="8">
                  <c:v>0.45829999999999999</c:v>
                </c:pt>
                <c:pt idx="9">
                  <c:v>0.54170000000000007</c:v>
                </c:pt>
                <c:pt idx="10">
                  <c:v>0.68180000000000007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1D2-4C5A-B570-9CE50308C2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</a:t>
            </a:r>
            <a:r>
              <a:rPr lang="en-US" baseline="0"/>
              <a:t> Placement %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NittyGrittySheet!$A$262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NittyGrittySheet!$B$261:$AL$261</c:f>
              <c:strCache>
                <c:ptCount val="37"/>
                <c:pt idx="0">
                  <c:v>10/13/2025</c:v>
                </c:pt>
                <c:pt idx="1">
                  <c:v>10/17/2025</c:v>
                </c:pt>
                <c:pt idx="2">
                  <c:v>10/24/2025</c:v>
                </c:pt>
                <c:pt idx="3">
                  <c:v>10/31/2025</c:v>
                </c:pt>
                <c:pt idx="4">
                  <c:v>11/7/2025</c:v>
                </c:pt>
                <c:pt idx="5">
                  <c:v>11/14/2025</c:v>
                </c:pt>
                <c:pt idx="6">
                  <c:v>11/21/2025</c:v>
                </c:pt>
                <c:pt idx="7">
                  <c:v>11/28/2025</c:v>
                </c:pt>
                <c:pt idx="8">
                  <c:v>12/5/2025</c:v>
                </c:pt>
                <c:pt idx="9">
                  <c:v>12/12/2025</c:v>
                </c:pt>
                <c:pt idx="10">
                  <c:v>12/19/2025</c:v>
                </c:pt>
                <c:pt idx="11">
                  <c:v>12/26/2025</c:v>
                </c:pt>
                <c:pt idx="12">
                  <c:v>1/2/2026</c:v>
                </c:pt>
                <c:pt idx="13">
                  <c:v>1/9/2026</c:v>
                </c:pt>
                <c:pt idx="14">
                  <c:v>1/16/2026</c:v>
                </c:pt>
                <c:pt idx="15">
                  <c:v>1/23/2026</c:v>
                </c:pt>
                <c:pt idx="16">
                  <c:v>1/30/2026</c:v>
                </c:pt>
                <c:pt idx="17">
                  <c:v>2/6/2026</c:v>
                </c:pt>
                <c:pt idx="18">
                  <c:v>2/13/2026</c:v>
                </c:pt>
                <c:pt idx="19">
                  <c:v>2/20/2026</c:v>
                </c:pt>
                <c:pt idx="20">
                  <c:v>2/27/2026</c:v>
                </c:pt>
                <c:pt idx="21">
                  <c:v>3/13/2026</c:v>
                </c:pt>
                <c:pt idx="22">
                  <c:v>3/20/2026</c:v>
                </c:pt>
                <c:pt idx="23">
                  <c:v>3/27/2026</c:v>
                </c:pt>
                <c:pt idx="24">
                  <c:v>4/3/2026</c:v>
                </c:pt>
                <c:pt idx="25">
                  <c:v>4/10/2026</c:v>
                </c:pt>
                <c:pt idx="26">
                  <c:v>4/17/2026</c:v>
                </c:pt>
                <c:pt idx="27">
                  <c:v>4/24/2026</c:v>
                </c:pt>
                <c:pt idx="28">
                  <c:v>5/1/2026</c:v>
                </c:pt>
                <c:pt idx="29">
                  <c:v>5/8/2026</c:v>
                </c:pt>
                <c:pt idx="30">
                  <c:v>5/15/2026</c:v>
                </c:pt>
                <c:pt idx="31">
                  <c:v>5/22/2026</c:v>
                </c:pt>
                <c:pt idx="32">
                  <c:v>05/29/2026</c:v>
                </c:pt>
                <c:pt idx="33">
                  <c:v>6/5/2026</c:v>
                </c:pt>
                <c:pt idx="34">
                  <c:v>6/12/2026</c:v>
                </c:pt>
                <c:pt idx="35">
                  <c:v>6/19/2026</c:v>
                </c:pt>
                <c:pt idx="36">
                  <c:v>6/26/2026</c:v>
                </c:pt>
              </c:strCache>
            </c:strRef>
          </c:cat>
          <c:val>
            <c:numRef>
              <c:f>NittyGrittySheet!$B$262:$AL$262</c:f>
              <c:numCache>
                <c:formatCode>0.00%</c:formatCode>
                <c:ptCount val="37"/>
                <c:pt idx="0">
                  <c:v>2.9399999999999999E-2</c:v>
                </c:pt>
                <c:pt idx="1">
                  <c:v>2.9399999999999999E-2</c:v>
                </c:pt>
                <c:pt idx="2">
                  <c:v>2.9399999999999999E-2</c:v>
                </c:pt>
                <c:pt idx="3">
                  <c:v>2.9399999999999999E-2</c:v>
                </c:pt>
                <c:pt idx="4">
                  <c:v>2.9399999999999999E-2</c:v>
                </c:pt>
                <c:pt idx="5">
                  <c:v>2.9399999999999999E-2</c:v>
                </c:pt>
                <c:pt idx="6">
                  <c:v>2.9399999999999999E-2</c:v>
                </c:pt>
                <c:pt idx="7">
                  <c:v>2.9399999999999999E-2</c:v>
                </c:pt>
                <c:pt idx="8">
                  <c:v>3.0300000000000001E-2</c:v>
                </c:pt>
                <c:pt idx="9">
                  <c:v>6.25E-2</c:v>
                </c:pt>
                <c:pt idx="10">
                  <c:v>6.25E-2</c:v>
                </c:pt>
                <c:pt idx="11">
                  <c:v>6.25E-2</c:v>
                </c:pt>
                <c:pt idx="12">
                  <c:v>6.25E-2</c:v>
                </c:pt>
                <c:pt idx="13">
                  <c:v>3.2300000000000002E-2</c:v>
                </c:pt>
                <c:pt idx="14">
                  <c:v>6.4500000000000002E-2</c:v>
                </c:pt>
                <c:pt idx="15">
                  <c:v>6.4500000000000002E-2</c:v>
                </c:pt>
                <c:pt idx="16">
                  <c:v>6.4500000000000002E-2</c:v>
                </c:pt>
                <c:pt idx="17">
                  <c:v>6.4500000000000002E-2</c:v>
                </c:pt>
                <c:pt idx="18">
                  <c:v>0.125</c:v>
                </c:pt>
                <c:pt idx="19">
                  <c:v>0.1515</c:v>
                </c:pt>
                <c:pt idx="20">
                  <c:v>0.1515</c:v>
                </c:pt>
                <c:pt idx="21">
                  <c:v>0.1515</c:v>
                </c:pt>
                <c:pt idx="22">
                  <c:v>0.23330000000000001</c:v>
                </c:pt>
                <c:pt idx="23">
                  <c:v>0.25</c:v>
                </c:pt>
                <c:pt idx="24">
                  <c:v>0.28570000000000001</c:v>
                </c:pt>
                <c:pt idx="25">
                  <c:v>0.32140000000000002</c:v>
                </c:pt>
                <c:pt idx="26">
                  <c:v>0.4</c:v>
                </c:pt>
                <c:pt idx="27">
                  <c:v>0.41670000000000001</c:v>
                </c:pt>
                <c:pt idx="28">
                  <c:v>0.45829999999999999</c:v>
                </c:pt>
                <c:pt idx="29">
                  <c:v>0.45829999999999999</c:v>
                </c:pt>
                <c:pt idx="30">
                  <c:v>0.45829999999999999</c:v>
                </c:pt>
                <c:pt idx="31">
                  <c:v>0.54170000000000007</c:v>
                </c:pt>
                <c:pt idx="32">
                  <c:v>0.54170000000000007</c:v>
                </c:pt>
                <c:pt idx="33">
                  <c:v>0.54170000000000007</c:v>
                </c:pt>
                <c:pt idx="34">
                  <c:v>0.59089999999999998</c:v>
                </c:pt>
                <c:pt idx="35">
                  <c:v>0.59089999999999998</c:v>
                </c:pt>
                <c:pt idx="36">
                  <c:v>0.68180000000000007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93-4F2F-A92F-93C58A8FD4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</a:t>
                </a:r>
                <a:r>
                  <a:rPr lang="en-US" baseline="0"/>
                  <a:t> of Seeking Students Placed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</a:t>
            </a:r>
            <a:r>
              <a:rPr lang="en-US" baseline="0"/>
              <a:t> </a:t>
            </a:r>
            <a:r>
              <a:rPr lang="en-US"/>
              <a:t>Search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NittyGrittySheet!$A$265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NittyGrittySheet!$B$264:$AL$264</c:f>
              <c:strCache>
                <c:ptCount val="37"/>
                <c:pt idx="0">
                  <c:v>10/13/2025</c:v>
                </c:pt>
                <c:pt idx="1">
                  <c:v>10/17/2025</c:v>
                </c:pt>
                <c:pt idx="2">
                  <c:v>10/24/2025</c:v>
                </c:pt>
                <c:pt idx="3">
                  <c:v>10/31/2025</c:v>
                </c:pt>
                <c:pt idx="4">
                  <c:v>11/7/2025</c:v>
                </c:pt>
                <c:pt idx="5">
                  <c:v>11/14/2025</c:v>
                </c:pt>
                <c:pt idx="6">
                  <c:v>11/21/2025</c:v>
                </c:pt>
                <c:pt idx="7">
                  <c:v>11/28/2025</c:v>
                </c:pt>
                <c:pt idx="8">
                  <c:v>12/5/2025</c:v>
                </c:pt>
                <c:pt idx="9">
                  <c:v>12/12/2025</c:v>
                </c:pt>
                <c:pt idx="10">
                  <c:v>12/19/2025</c:v>
                </c:pt>
                <c:pt idx="11">
                  <c:v>12/26/2025</c:v>
                </c:pt>
                <c:pt idx="12">
                  <c:v>1/2/2026</c:v>
                </c:pt>
                <c:pt idx="13">
                  <c:v>1/9/2026</c:v>
                </c:pt>
                <c:pt idx="14">
                  <c:v>1/16/2026</c:v>
                </c:pt>
                <c:pt idx="15">
                  <c:v>1/23/2026</c:v>
                </c:pt>
                <c:pt idx="16">
                  <c:v>1/30/2026</c:v>
                </c:pt>
                <c:pt idx="17">
                  <c:v>2/6/2026</c:v>
                </c:pt>
                <c:pt idx="18">
                  <c:v>2/13/2026</c:v>
                </c:pt>
                <c:pt idx="19">
                  <c:v>2/20/2026</c:v>
                </c:pt>
                <c:pt idx="20">
                  <c:v>2/27/2026</c:v>
                </c:pt>
                <c:pt idx="21">
                  <c:v>3/13/2026</c:v>
                </c:pt>
                <c:pt idx="22">
                  <c:v>3/20/2026</c:v>
                </c:pt>
                <c:pt idx="23">
                  <c:v>3/27/2026</c:v>
                </c:pt>
                <c:pt idx="24">
                  <c:v>4/3/2026</c:v>
                </c:pt>
                <c:pt idx="25">
                  <c:v>4/10/2026</c:v>
                </c:pt>
                <c:pt idx="26">
                  <c:v>4/17/2026</c:v>
                </c:pt>
                <c:pt idx="27">
                  <c:v>4/24/2026</c:v>
                </c:pt>
                <c:pt idx="28">
                  <c:v>5/1/2026</c:v>
                </c:pt>
                <c:pt idx="29">
                  <c:v>5/8/2026</c:v>
                </c:pt>
                <c:pt idx="30">
                  <c:v>5/15/2026</c:v>
                </c:pt>
                <c:pt idx="31">
                  <c:v>5/22/2026</c:v>
                </c:pt>
                <c:pt idx="32">
                  <c:v>05/29/2026</c:v>
                </c:pt>
                <c:pt idx="33">
                  <c:v>6/5/2026</c:v>
                </c:pt>
                <c:pt idx="34">
                  <c:v>6/12/2026</c:v>
                </c:pt>
                <c:pt idx="35">
                  <c:v>6/19/2026</c:v>
                </c:pt>
                <c:pt idx="36">
                  <c:v>6/26/2026</c:v>
                </c:pt>
              </c:strCache>
            </c:strRef>
          </c:cat>
          <c:val>
            <c:numRef>
              <c:f>NittyGrittySheet!$B$265:$AL$265</c:f>
              <c:numCache>
                <c:formatCode>General</c:formatCode>
                <c:ptCount val="3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1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4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7</c:v>
                </c:pt>
                <c:pt idx="23">
                  <c:v>7</c:v>
                </c:pt>
                <c:pt idx="24">
                  <c:v>8</c:v>
                </c:pt>
                <c:pt idx="25">
                  <c:v>9</c:v>
                </c:pt>
                <c:pt idx="26">
                  <c:v>10</c:v>
                </c:pt>
                <c:pt idx="27">
                  <c:v>10</c:v>
                </c:pt>
                <c:pt idx="28">
                  <c:v>11</c:v>
                </c:pt>
                <c:pt idx="29">
                  <c:v>11</c:v>
                </c:pt>
                <c:pt idx="30">
                  <c:v>11</c:v>
                </c:pt>
                <c:pt idx="31">
                  <c:v>13</c:v>
                </c:pt>
                <c:pt idx="32">
                  <c:v>13</c:v>
                </c:pt>
                <c:pt idx="33">
                  <c:v>13</c:v>
                </c:pt>
                <c:pt idx="34">
                  <c:v>13</c:v>
                </c:pt>
                <c:pt idx="35">
                  <c:v>13</c:v>
                </c:pt>
                <c:pt idx="36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5D-435A-B112-35952DB1106D}"/>
            </c:ext>
          </c:extLst>
        </c:ser>
        <c:ser>
          <c:idx val="1"/>
          <c:order val="1"/>
          <c:tx>
            <c:strRef>
              <c:f>NittyGrittySheet!$A$266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NittyGrittySheet!$B$264:$AL$264</c:f>
              <c:strCache>
                <c:ptCount val="37"/>
                <c:pt idx="0">
                  <c:v>10/13/2025</c:v>
                </c:pt>
                <c:pt idx="1">
                  <c:v>10/17/2025</c:v>
                </c:pt>
                <c:pt idx="2">
                  <c:v>10/24/2025</c:v>
                </c:pt>
                <c:pt idx="3">
                  <c:v>10/31/2025</c:v>
                </c:pt>
                <c:pt idx="4">
                  <c:v>11/7/2025</c:v>
                </c:pt>
                <c:pt idx="5">
                  <c:v>11/14/2025</c:v>
                </c:pt>
                <c:pt idx="6">
                  <c:v>11/21/2025</c:v>
                </c:pt>
                <c:pt idx="7">
                  <c:v>11/28/2025</c:v>
                </c:pt>
                <c:pt idx="8">
                  <c:v>12/5/2025</c:v>
                </c:pt>
                <c:pt idx="9">
                  <c:v>12/12/2025</c:v>
                </c:pt>
                <c:pt idx="10">
                  <c:v>12/19/2025</c:v>
                </c:pt>
                <c:pt idx="11">
                  <c:v>12/26/2025</c:v>
                </c:pt>
                <c:pt idx="12">
                  <c:v>1/2/2026</c:v>
                </c:pt>
                <c:pt idx="13">
                  <c:v>1/9/2026</c:v>
                </c:pt>
                <c:pt idx="14">
                  <c:v>1/16/2026</c:v>
                </c:pt>
                <c:pt idx="15">
                  <c:v>1/23/2026</c:v>
                </c:pt>
                <c:pt idx="16">
                  <c:v>1/30/2026</c:v>
                </c:pt>
                <c:pt idx="17">
                  <c:v>2/6/2026</c:v>
                </c:pt>
                <c:pt idx="18">
                  <c:v>2/13/2026</c:v>
                </c:pt>
                <c:pt idx="19">
                  <c:v>2/20/2026</c:v>
                </c:pt>
                <c:pt idx="20">
                  <c:v>2/27/2026</c:v>
                </c:pt>
                <c:pt idx="21">
                  <c:v>3/13/2026</c:v>
                </c:pt>
                <c:pt idx="22">
                  <c:v>3/20/2026</c:v>
                </c:pt>
                <c:pt idx="23">
                  <c:v>3/27/2026</c:v>
                </c:pt>
                <c:pt idx="24">
                  <c:v>4/3/2026</c:v>
                </c:pt>
                <c:pt idx="25">
                  <c:v>4/10/2026</c:v>
                </c:pt>
                <c:pt idx="26">
                  <c:v>4/17/2026</c:v>
                </c:pt>
                <c:pt idx="27">
                  <c:v>4/24/2026</c:v>
                </c:pt>
                <c:pt idx="28">
                  <c:v>5/1/2026</c:v>
                </c:pt>
                <c:pt idx="29">
                  <c:v>5/8/2026</c:v>
                </c:pt>
                <c:pt idx="30">
                  <c:v>5/15/2026</c:v>
                </c:pt>
                <c:pt idx="31">
                  <c:v>5/22/2026</c:v>
                </c:pt>
                <c:pt idx="32">
                  <c:v>05/29/2026</c:v>
                </c:pt>
                <c:pt idx="33">
                  <c:v>6/5/2026</c:v>
                </c:pt>
                <c:pt idx="34">
                  <c:v>6/12/2026</c:v>
                </c:pt>
                <c:pt idx="35">
                  <c:v>6/19/2026</c:v>
                </c:pt>
                <c:pt idx="36">
                  <c:v>6/26/2026</c:v>
                </c:pt>
              </c:strCache>
            </c:strRef>
          </c:cat>
          <c:val>
            <c:numRef>
              <c:f>NittyGrittySheet!$B$266:$AL$266</c:f>
              <c:numCache>
                <c:formatCode>General</c:formatCode>
                <c:ptCount val="37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13</c:v>
                </c:pt>
                <c:pt idx="4">
                  <c:v>16</c:v>
                </c:pt>
                <c:pt idx="5">
                  <c:v>16</c:v>
                </c:pt>
                <c:pt idx="6">
                  <c:v>24</c:v>
                </c:pt>
                <c:pt idx="7">
                  <c:v>24</c:v>
                </c:pt>
                <c:pt idx="8">
                  <c:v>23</c:v>
                </c:pt>
                <c:pt idx="9">
                  <c:v>22</c:v>
                </c:pt>
                <c:pt idx="10">
                  <c:v>22</c:v>
                </c:pt>
                <c:pt idx="11">
                  <c:v>22</c:v>
                </c:pt>
                <c:pt idx="12">
                  <c:v>22</c:v>
                </c:pt>
                <c:pt idx="13">
                  <c:v>23</c:v>
                </c:pt>
                <c:pt idx="14">
                  <c:v>23</c:v>
                </c:pt>
                <c:pt idx="15">
                  <c:v>23</c:v>
                </c:pt>
                <c:pt idx="16">
                  <c:v>23</c:v>
                </c:pt>
                <c:pt idx="17">
                  <c:v>23</c:v>
                </c:pt>
                <c:pt idx="18">
                  <c:v>22</c:v>
                </c:pt>
                <c:pt idx="19">
                  <c:v>28</c:v>
                </c:pt>
                <c:pt idx="20">
                  <c:v>28</c:v>
                </c:pt>
                <c:pt idx="21">
                  <c:v>28</c:v>
                </c:pt>
                <c:pt idx="22">
                  <c:v>23</c:v>
                </c:pt>
                <c:pt idx="23">
                  <c:v>21</c:v>
                </c:pt>
                <c:pt idx="24">
                  <c:v>20</c:v>
                </c:pt>
                <c:pt idx="25">
                  <c:v>19</c:v>
                </c:pt>
                <c:pt idx="26">
                  <c:v>15</c:v>
                </c:pt>
                <c:pt idx="27">
                  <c:v>14</c:v>
                </c:pt>
                <c:pt idx="28">
                  <c:v>13</c:v>
                </c:pt>
                <c:pt idx="29">
                  <c:v>13</c:v>
                </c:pt>
                <c:pt idx="30">
                  <c:v>13</c:v>
                </c:pt>
                <c:pt idx="31">
                  <c:v>11</c:v>
                </c:pt>
                <c:pt idx="32">
                  <c:v>11</c:v>
                </c:pt>
                <c:pt idx="33">
                  <c:v>11</c:v>
                </c:pt>
                <c:pt idx="34">
                  <c:v>9</c:v>
                </c:pt>
                <c:pt idx="35">
                  <c:v>9</c:v>
                </c:pt>
                <c:pt idx="36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5D-435A-B112-35952DB1106D}"/>
            </c:ext>
          </c:extLst>
        </c:ser>
        <c:ser>
          <c:idx val="3"/>
          <c:order val="3"/>
          <c:tx>
            <c:strRef>
              <c:f>NittyGrittySheet!$A$268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NittyGrittySheet!$B$264:$AL$264</c:f>
              <c:strCache>
                <c:ptCount val="37"/>
                <c:pt idx="0">
                  <c:v>10/13/2025</c:v>
                </c:pt>
                <c:pt idx="1">
                  <c:v>10/17/2025</c:v>
                </c:pt>
                <c:pt idx="2">
                  <c:v>10/24/2025</c:v>
                </c:pt>
                <c:pt idx="3">
                  <c:v>10/31/2025</c:v>
                </c:pt>
                <c:pt idx="4">
                  <c:v>11/7/2025</c:v>
                </c:pt>
                <c:pt idx="5">
                  <c:v>11/14/2025</c:v>
                </c:pt>
                <c:pt idx="6">
                  <c:v>11/21/2025</c:v>
                </c:pt>
                <c:pt idx="7">
                  <c:v>11/28/2025</c:v>
                </c:pt>
                <c:pt idx="8">
                  <c:v>12/5/2025</c:v>
                </c:pt>
                <c:pt idx="9">
                  <c:v>12/12/2025</c:v>
                </c:pt>
                <c:pt idx="10">
                  <c:v>12/19/2025</c:v>
                </c:pt>
                <c:pt idx="11">
                  <c:v>12/26/2025</c:v>
                </c:pt>
                <c:pt idx="12">
                  <c:v>1/2/2026</c:v>
                </c:pt>
                <c:pt idx="13">
                  <c:v>1/9/2026</c:v>
                </c:pt>
                <c:pt idx="14">
                  <c:v>1/16/2026</c:v>
                </c:pt>
                <c:pt idx="15">
                  <c:v>1/23/2026</c:v>
                </c:pt>
                <c:pt idx="16">
                  <c:v>1/30/2026</c:v>
                </c:pt>
                <c:pt idx="17">
                  <c:v>2/6/2026</c:v>
                </c:pt>
                <c:pt idx="18">
                  <c:v>2/13/2026</c:v>
                </c:pt>
                <c:pt idx="19">
                  <c:v>2/20/2026</c:v>
                </c:pt>
                <c:pt idx="20">
                  <c:v>2/27/2026</c:v>
                </c:pt>
                <c:pt idx="21">
                  <c:v>3/13/2026</c:v>
                </c:pt>
                <c:pt idx="22">
                  <c:v>3/20/2026</c:v>
                </c:pt>
                <c:pt idx="23">
                  <c:v>3/27/2026</c:v>
                </c:pt>
                <c:pt idx="24">
                  <c:v>4/3/2026</c:v>
                </c:pt>
                <c:pt idx="25">
                  <c:v>4/10/2026</c:v>
                </c:pt>
                <c:pt idx="26">
                  <c:v>4/17/2026</c:v>
                </c:pt>
                <c:pt idx="27">
                  <c:v>4/24/2026</c:v>
                </c:pt>
                <c:pt idx="28">
                  <c:v>5/1/2026</c:v>
                </c:pt>
                <c:pt idx="29">
                  <c:v>5/8/2026</c:v>
                </c:pt>
                <c:pt idx="30">
                  <c:v>5/15/2026</c:v>
                </c:pt>
                <c:pt idx="31">
                  <c:v>5/22/2026</c:v>
                </c:pt>
                <c:pt idx="32">
                  <c:v>05/29/2026</c:v>
                </c:pt>
                <c:pt idx="33">
                  <c:v>6/5/2026</c:v>
                </c:pt>
                <c:pt idx="34">
                  <c:v>6/12/2026</c:v>
                </c:pt>
                <c:pt idx="35">
                  <c:v>6/19/2026</c:v>
                </c:pt>
                <c:pt idx="36">
                  <c:v>6/26/2026</c:v>
                </c:pt>
              </c:strCache>
            </c:strRef>
          </c:cat>
          <c:val>
            <c:numRef>
              <c:f>NittyGrittySheet!$B$268:$AL$268</c:f>
              <c:numCache>
                <c:formatCode>General</c:formatCode>
                <c:ptCount val="37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17</c:v>
                </c:pt>
                <c:pt idx="5">
                  <c:v>17</c:v>
                </c:pt>
                <c:pt idx="6">
                  <c:v>9</c:v>
                </c:pt>
                <c:pt idx="7">
                  <c:v>9</c:v>
                </c:pt>
                <c:pt idx="8">
                  <c:v>9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7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D5D-435A-B112-35952DB110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NittyGrittySheet!$A$267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NittyGrittySheet!$B$264:$AL$264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NittyGrittySheet!$B$267:$AL$267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3D5D-435A-B112-35952DB1106D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NittyGrittySheet!$A$269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NittyGrittySheet!$B$264:$AL$264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NittyGrittySheet!$B$269:$AL$269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2</c:v>
                      </c:pt>
                      <c:pt idx="6">
                        <c:v>2</c:v>
                      </c:pt>
                      <c:pt idx="7">
                        <c:v>2</c:v>
                      </c:pt>
                      <c:pt idx="8">
                        <c:v>3</c:v>
                      </c:pt>
                      <c:pt idx="9">
                        <c:v>3</c:v>
                      </c:pt>
                      <c:pt idx="10">
                        <c:v>3</c:v>
                      </c:pt>
                      <c:pt idx="11">
                        <c:v>3</c:v>
                      </c:pt>
                      <c:pt idx="12">
                        <c:v>3</c:v>
                      </c:pt>
                      <c:pt idx="13">
                        <c:v>3</c:v>
                      </c:pt>
                      <c:pt idx="14">
                        <c:v>3</c:v>
                      </c:pt>
                      <c:pt idx="15">
                        <c:v>3</c:v>
                      </c:pt>
                      <c:pt idx="16">
                        <c:v>3</c:v>
                      </c:pt>
                      <c:pt idx="17">
                        <c:v>3</c:v>
                      </c:pt>
                      <c:pt idx="18">
                        <c:v>2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D5D-435A-B112-35952DB1106D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NittyGrittySheet!$A$270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NittyGrittySheet!$B$264:$AL$264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NittyGrittySheet!$B$270:$AL$270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2</c:v>
                      </c:pt>
                      <c:pt idx="23">
                        <c:v>2</c:v>
                      </c:pt>
                      <c:pt idx="24">
                        <c:v>2</c:v>
                      </c:pt>
                      <c:pt idx="25">
                        <c:v>2</c:v>
                      </c:pt>
                      <c:pt idx="26">
                        <c:v>2</c:v>
                      </c:pt>
                      <c:pt idx="27">
                        <c:v>2</c:v>
                      </c:pt>
                      <c:pt idx="28">
                        <c:v>2</c:v>
                      </c:pt>
                      <c:pt idx="29">
                        <c:v>2</c:v>
                      </c:pt>
                      <c:pt idx="30">
                        <c:v>2</c:v>
                      </c:pt>
                      <c:pt idx="31">
                        <c:v>2</c:v>
                      </c:pt>
                      <c:pt idx="32">
                        <c:v>2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D5D-435A-B112-35952DB1106D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NittyGrittySheet!$A$271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NittyGrittySheet!$B$264:$AL$264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NittyGrittySheet!$B$271:$AL$271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2</c:v>
                      </c:pt>
                      <c:pt idx="23">
                        <c:v>4</c:v>
                      </c:pt>
                      <c:pt idx="24">
                        <c:v>4</c:v>
                      </c:pt>
                      <c:pt idx="25">
                        <c:v>4</c:v>
                      </c:pt>
                      <c:pt idx="26">
                        <c:v>6</c:v>
                      </c:pt>
                      <c:pt idx="27">
                        <c:v>6</c:v>
                      </c:pt>
                      <c:pt idx="28">
                        <c:v>6</c:v>
                      </c:pt>
                      <c:pt idx="29">
                        <c:v>6</c:v>
                      </c:pt>
                      <c:pt idx="30">
                        <c:v>6</c:v>
                      </c:pt>
                      <c:pt idx="31">
                        <c:v>6</c:v>
                      </c:pt>
                      <c:pt idx="32">
                        <c:v>6</c:v>
                      </c:pt>
                      <c:pt idx="33">
                        <c:v>6</c:v>
                      </c:pt>
                      <c:pt idx="34">
                        <c:v>6</c:v>
                      </c:pt>
                      <c:pt idx="35">
                        <c:v>6</c:v>
                      </c:pt>
                      <c:pt idx="36">
                        <c:v>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3D5D-435A-B112-35952DB1106D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NittyGrittySheet!$A$272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NittyGrittySheet!$B$264:$AL$264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NittyGrittySheet!$B$272:$AL$272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3D5D-435A-B112-35952DB1106D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NittyGrittySheet!$A$273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NittyGrittySheet!$B$264:$AL$264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NittyGrittySheet!$B$273:$AL$273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3D5D-435A-B112-35952DB1106D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NittyGrittySheet!$A$274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NittyGrittySheet!$B$264:$AL$264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NittyGrittySheet!$B$274:$AL$274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3D5D-435A-B112-35952DB1106D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NittyGrittySheet!$A$275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NittyGrittySheet!$B$264:$AL$264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NittyGrittySheet!$B$275:$AL$275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36</c:v>
                      </c:pt>
                      <c:pt idx="1">
                        <c:v>36</c:v>
                      </c:pt>
                      <c:pt idx="2">
                        <c:v>36</c:v>
                      </c:pt>
                      <c:pt idx="3">
                        <c:v>36</c:v>
                      </c:pt>
                      <c:pt idx="4">
                        <c:v>36</c:v>
                      </c:pt>
                      <c:pt idx="5">
                        <c:v>36</c:v>
                      </c:pt>
                      <c:pt idx="6">
                        <c:v>36</c:v>
                      </c:pt>
                      <c:pt idx="7">
                        <c:v>36</c:v>
                      </c:pt>
                      <c:pt idx="8">
                        <c:v>36</c:v>
                      </c:pt>
                      <c:pt idx="9">
                        <c:v>36</c:v>
                      </c:pt>
                      <c:pt idx="10">
                        <c:v>36</c:v>
                      </c:pt>
                      <c:pt idx="11">
                        <c:v>36</c:v>
                      </c:pt>
                      <c:pt idx="12">
                        <c:v>36</c:v>
                      </c:pt>
                      <c:pt idx="13">
                        <c:v>35</c:v>
                      </c:pt>
                      <c:pt idx="14">
                        <c:v>35</c:v>
                      </c:pt>
                      <c:pt idx="15">
                        <c:v>35</c:v>
                      </c:pt>
                      <c:pt idx="16">
                        <c:v>35</c:v>
                      </c:pt>
                      <c:pt idx="17">
                        <c:v>35</c:v>
                      </c:pt>
                      <c:pt idx="18">
                        <c:v>35</c:v>
                      </c:pt>
                      <c:pt idx="19">
                        <c:v>35</c:v>
                      </c:pt>
                      <c:pt idx="20">
                        <c:v>35</c:v>
                      </c:pt>
                      <c:pt idx="21">
                        <c:v>35</c:v>
                      </c:pt>
                      <c:pt idx="22">
                        <c:v>35</c:v>
                      </c:pt>
                      <c:pt idx="23">
                        <c:v>35</c:v>
                      </c:pt>
                      <c:pt idx="24">
                        <c:v>35</c:v>
                      </c:pt>
                      <c:pt idx="25">
                        <c:v>35</c:v>
                      </c:pt>
                      <c:pt idx="26">
                        <c:v>35</c:v>
                      </c:pt>
                      <c:pt idx="27">
                        <c:v>35</c:v>
                      </c:pt>
                      <c:pt idx="28">
                        <c:v>35</c:v>
                      </c:pt>
                      <c:pt idx="29">
                        <c:v>35</c:v>
                      </c:pt>
                      <c:pt idx="30">
                        <c:v>35</c:v>
                      </c:pt>
                      <c:pt idx="31">
                        <c:v>35</c:v>
                      </c:pt>
                      <c:pt idx="32">
                        <c:v>35</c:v>
                      </c:pt>
                      <c:pt idx="33">
                        <c:v>35</c:v>
                      </c:pt>
                      <c:pt idx="34">
                        <c:v>35</c:v>
                      </c:pt>
                      <c:pt idx="35">
                        <c:v>35</c:v>
                      </c:pt>
                      <c:pt idx="36">
                        <c:v>35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3D5D-435A-B112-35952DB1106D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0.xml"/><Relationship Id="rId2" Type="http://schemas.openxmlformats.org/officeDocument/2006/relationships/chart" Target="../charts/chart29.xml"/><Relationship Id="rId1" Type="http://schemas.openxmlformats.org/officeDocument/2006/relationships/chart" Target="../charts/chart28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3.xml"/><Relationship Id="rId2" Type="http://schemas.openxmlformats.org/officeDocument/2006/relationships/chart" Target="../charts/chart32.xml"/><Relationship Id="rId1" Type="http://schemas.openxmlformats.org/officeDocument/2006/relationships/chart" Target="../charts/chart31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6.xml"/><Relationship Id="rId2" Type="http://schemas.openxmlformats.org/officeDocument/2006/relationships/chart" Target="../charts/chart35.xml"/><Relationship Id="rId1" Type="http://schemas.openxmlformats.org/officeDocument/2006/relationships/chart" Target="../charts/chart34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9.xml"/><Relationship Id="rId2" Type="http://schemas.openxmlformats.org/officeDocument/2006/relationships/chart" Target="../charts/chart38.xml"/><Relationship Id="rId1" Type="http://schemas.openxmlformats.org/officeDocument/2006/relationships/chart" Target="../charts/chart37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2.xml"/><Relationship Id="rId2" Type="http://schemas.openxmlformats.org/officeDocument/2006/relationships/chart" Target="../charts/chart41.xml"/><Relationship Id="rId1" Type="http://schemas.openxmlformats.org/officeDocument/2006/relationships/chart" Target="../charts/chart40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5.xml"/><Relationship Id="rId2" Type="http://schemas.openxmlformats.org/officeDocument/2006/relationships/chart" Target="../charts/chart44.xml"/><Relationship Id="rId1" Type="http://schemas.openxmlformats.org/officeDocument/2006/relationships/chart" Target="../charts/chart4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0</xdr:row>
      <xdr:rowOff>385761</xdr:rowOff>
    </xdr:from>
    <xdr:to>
      <xdr:col>7</xdr:col>
      <xdr:colOff>47625</xdr:colOff>
      <xdr:row>18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13FBBA-6BA0-4F65-A770-31AF4C3DC2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227477</xdr:colOff>
      <xdr:row>1</xdr:row>
      <xdr:rowOff>14285</xdr:rowOff>
    </xdr:from>
    <xdr:to>
      <xdr:col>19</xdr:col>
      <xdr:colOff>9525</xdr:colOff>
      <xdr:row>18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11CE068-51A7-4EB7-8E79-C78F0074BE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E371F8F-A287-4582-BCDC-69464DC106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D358DCA-25AA-4065-BA00-E26666DD0E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0</xdr:row>
      <xdr:rowOff>390524</xdr:rowOff>
    </xdr:from>
    <xdr:to>
      <xdr:col>7</xdr:col>
      <xdr:colOff>57150</xdr:colOff>
      <xdr:row>18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6E1058F-C0F1-440E-A3E3-654096DEFA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219075</xdr:colOff>
      <xdr:row>1</xdr:row>
      <xdr:rowOff>9524</xdr:rowOff>
    </xdr:from>
    <xdr:to>
      <xdr:col>19</xdr:col>
      <xdr:colOff>0</xdr:colOff>
      <xdr:row>18</xdr:row>
      <xdr:rowOff>171449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FFFD928-2459-4B16-B16F-137A8CB0B8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916CB1-BB3D-4906-96BC-376B7FA5BB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1</xdr:row>
      <xdr:rowOff>0</xdr:rowOff>
    </xdr:from>
    <xdr:to>
      <xdr:col>7</xdr:col>
      <xdr:colOff>57150</xdr:colOff>
      <xdr:row>18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82FB04A-EBC4-48D2-9487-6780C6A8DF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219075</xdr:colOff>
      <xdr:row>1</xdr:row>
      <xdr:rowOff>9525</xdr:rowOff>
    </xdr:from>
    <xdr:to>
      <xdr:col>19</xdr:col>
      <xdr:colOff>0</xdr:colOff>
      <xdr:row>18</xdr:row>
      <xdr:rowOff>180974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33ADB65-D7BE-488E-962D-F090A169B2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EFEE55-249A-4666-B713-CF2BD41750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1</xdr:row>
      <xdr:rowOff>0</xdr:rowOff>
    </xdr:from>
    <xdr:to>
      <xdr:col>7</xdr:col>
      <xdr:colOff>57150</xdr:colOff>
      <xdr:row>18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2E90CD0-42DF-4D7B-97D5-76CEB61073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219074</xdr:colOff>
      <xdr:row>1</xdr:row>
      <xdr:rowOff>0</xdr:rowOff>
    </xdr:from>
    <xdr:to>
      <xdr:col>18</xdr:col>
      <xdr:colOff>485774</xdr:colOff>
      <xdr:row>18</xdr:row>
      <xdr:rowOff>180975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89EC14E-A094-4206-BC5C-615BFC2692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08E9F9-AEAA-4879-8BAE-815533D00D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1</xdr:row>
      <xdr:rowOff>1</xdr:rowOff>
    </xdr:from>
    <xdr:to>
      <xdr:col>7</xdr:col>
      <xdr:colOff>57150</xdr:colOff>
      <xdr:row>18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18C4FC7-732F-4328-89D6-F40DDC6D29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209550</xdr:colOff>
      <xdr:row>1</xdr:row>
      <xdr:rowOff>0</xdr:rowOff>
    </xdr:from>
    <xdr:to>
      <xdr:col>18</xdr:col>
      <xdr:colOff>476250</xdr:colOff>
      <xdr:row>18</xdr:row>
      <xdr:rowOff>180975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BDEBF49-16A7-49E0-B5CB-F1C420E5BD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5B3D7C-AD0B-4A41-954B-1142BE22C0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19049</xdr:colOff>
      <xdr:row>1</xdr:row>
      <xdr:rowOff>0</xdr:rowOff>
    </xdr:from>
    <xdr:to>
      <xdr:col>7</xdr:col>
      <xdr:colOff>57149</xdr:colOff>
      <xdr:row>18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C64C177-5A36-4060-835A-BA2891D0CE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209550</xdr:colOff>
      <xdr:row>1</xdr:row>
      <xdr:rowOff>1</xdr:rowOff>
    </xdr:from>
    <xdr:to>
      <xdr:col>19</xdr:col>
      <xdr:colOff>0</xdr:colOff>
      <xdr:row>18</xdr:row>
      <xdr:rowOff>180975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162B3B1-2511-4090-848A-18DE76C187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5FB1D4-3C04-456B-9CFA-B4A07422B8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1</xdr:row>
      <xdr:rowOff>1</xdr:rowOff>
    </xdr:from>
    <xdr:to>
      <xdr:col>7</xdr:col>
      <xdr:colOff>57150</xdr:colOff>
      <xdr:row>18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19BDFFC-58C7-4DA6-BC27-90CD4DB907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209550</xdr:colOff>
      <xdr:row>1</xdr:row>
      <xdr:rowOff>0</xdr:rowOff>
    </xdr:from>
    <xdr:to>
      <xdr:col>19</xdr:col>
      <xdr:colOff>0</xdr:colOff>
      <xdr:row>18</xdr:row>
      <xdr:rowOff>190499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226D6A8-24ED-4C93-9C00-6B23116298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351E71-A9D2-4632-9F57-C574792D6A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66676</xdr:colOff>
      <xdr:row>1</xdr:row>
      <xdr:rowOff>1</xdr:rowOff>
    </xdr:from>
    <xdr:to>
      <xdr:col>6</xdr:col>
      <xdr:colOff>1009650</xdr:colOff>
      <xdr:row>19</xdr:row>
      <xdr:rowOff>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BA4BCCC-995F-4933-B578-9DA7AFB0A3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200025</xdr:colOff>
      <xdr:row>0</xdr:row>
      <xdr:rowOff>381000</xdr:rowOff>
    </xdr:from>
    <xdr:to>
      <xdr:col>19</xdr:col>
      <xdr:colOff>9525</xdr:colOff>
      <xdr:row>19</xdr:row>
      <xdr:rowOff>9524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BE68171-4A11-4683-8EC2-A1F7FE0DB9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4FC190-9AE0-4854-9417-AE71209E91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66676</xdr:colOff>
      <xdr:row>1</xdr:row>
      <xdr:rowOff>1</xdr:rowOff>
    </xdr:from>
    <xdr:to>
      <xdr:col>6</xdr:col>
      <xdr:colOff>1009650</xdr:colOff>
      <xdr:row>19</xdr:row>
      <xdr:rowOff>9525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169CA06-4318-48C4-A942-B5AF6E67B0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200025</xdr:colOff>
      <xdr:row>1</xdr:row>
      <xdr:rowOff>0</xdr:rowOff>
    </xdr:from>
    <xdr:to>
      <xdr:col>19</xdr:col>
      <xdr:colOff>9525</xdr:colOff>
      <xdr:row>19</xdr:row>
      <xdr:rowOff>19049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13E7364-A8DB-4731-97C3-0660A28B86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20D833-1A3C-43BD-8026-7E8CB36F53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66676</xdr:colOff>
      <xdr:row>1</xdr:row>
      <xdr:rowOff>0</xdr:rowOff>
    </xdr:from>
    <xdr:to>
      <xdr:col>7</xdr:col>
      <xdr:colOff>0</xdr:colOff>
      <xdr:row>19</xdr:row>
      <xdr:rowOff>9525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0027D06-C7F3-48ED-BD1C-A2221C2A3A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190500</xdr:colOff>
      <xdr:row>1</xdr:row>
      <xdr:rowOff>0</xdr:rowOff>
    </xdr:from>
    <xdr:to>
      <xdr:col>19</xdr:col>
      <xdr:colOff>0</xdr:colOff>
      <xdr:row>19</xdr:row>
      <xdr:rowOff>9525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92CDB11-A2D2-4A4F-81B4-D7757E7867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8ED577-5AA6-4DBF-8E7A-AD8B844000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66675</xdr:colOff>
      <xdr:row>1</xdr:row>
      <xdr:rowOff>1</xdr:rowOff>
    </xdr:from>
    <xdr:to>
      <xdr:col>7</xdr:col>
      <xdr:colOff>0</xdr:colOff>
      <xdr:row>19</xdr:row>
      <xdr:rowOff>9525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EB9251D-B671-42EC-BED0-67EAC6AB0A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190500</xdr:colOff>
      <xdr:row>1</xdr:row>
      <xdr:rowOff>0</xdr:rowOff>
    </xdr:from>
    <xdr:to>
      <xdr:col>19</xdr:col>
      <xdr:colOff>0</xdr:colOff>
      <xdr:row>19</xdr:row>
      <xdr:rowOff>19049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0453877-DB7C-43EA-A183-B76EC9E6F6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98DEBB-88D1-4AA7-8997-D7ED1BE6C6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68580</xdr:colOff>
      <xdr:row>1</xdr:row>
      <xdr:rowOff>0</xdr:rowOff>
    </xdr:from>
    <xdr:to>
      <xdr:col>7</xdr:col>
      <xdr:colOff>0</xdr:colOff>
      <xdr:row>19</xdr:row>
      <xdr:rowOff>22859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5D4F630-FDFF-418C-9EB7-2BDCBC19A8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190500</xdr:colOff>
      <xdr:row>1</xdr:row>
      <xdr:rowOff>0</xdr:rowOff>
    </xdr:from>
    <xdr:to>
      <xdr:col>19</xdr:col>
      <xdr:colOff>0</xdr:colOff>
      <xdr:row>19</xdr:row>
      <xdr:rowOff>22859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DA1A83E-7EF8-4AEB-82A3-09697EBAED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D76399-AA4A-4722-9A6A-E82BC61457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66675</xdr:colOff>
      <xdr:row>1</xdr:row>
      <xdr:rowOff>0</xdr:rowOff>
    </xdr:from>
    <xdr:to>
      <xdr:col>7</xdr:col>
      <xdr:colOff>19049</xdr:colOff>
      <xdr:row>19</xdr:row>
      <xdr:rowOff>19049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5F87EB2-50DF-4644-BB40-E8A3C7C2B6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190500</xdr:colOff>
      <xdr:row>1</xdr:row>
      <xdr:rowOff>0</xdr:rowOff>
    </xdr:from>
    <xdr:to>
      <xdr:col>19</xdr:col>
      <xdr:colOff>0</xdr:colOff>
      <xdr:row>19</xdr:row>
      <xdr:rowOff>19049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A96066E-C9C8-4FE3-9CC3-6D9699634E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428AA7-0F0E-4419-BF61-26127246A1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66675</xdr:colOff>
      <xdr:row>0</xdr:row>
      <xdr:rowOff>381000</xdr:rowOff>
    </xdr:from>
    <xdr:to>
      <xdr:col>7</xdr:col>
      <xdr:colOff>19050</xdr:colOff>
      <xdr:row>19</xdr:row>
      <xdr:rowOff>9524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29DF622-C185-4FB4-929F-79609EA42C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190500</xdr:colOff>
      <xdr:row>1</xdr:row>
      <xdr:rowOff>0</xdr:rowOff>
    </xdr:from>
    <xdr:to>
      <xdr:col>18</xdr:col>
      <xdr:colOff>533400</xdr:colOff>
      <xdr:row>19</xdr:row>
      <xdr:rowOff>9525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92C59EA-A268-40A6-8FC3-D7A1283A77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89618D-213B-4128-8A5C-0E742DB9D5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66675</xdr:colOff>
      <xdr:row>0</xdr:row>
      <xdr:rowOff>381000</xdr:rowOff>
    </xdr:from>
    <xdr:to>
      <xdr:col>7</xdr:col>
      <xdr:colOff>19050</xdr:colOff>
      <xdr:row>19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883F35E-1D1F-48CE-B2E1-9E3293839D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190500</xdr:colOff>
      <xdr:row>0</xdr:row>
      <xdr:rowOff>381001</xdr:rowOff>
    </xdr:from>
    <xdr:to>
      <xdr:col>18</xdr:col>
      <xdr:colOff>533400</xdr:colOff>
      <xdr:row>19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E38104C-4E65-4A98-BF14-4B00BE7619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94FEF257-0A90-4B66-A089-0FA47FC41378}" name="Table37" displayName="Table37" ref="M24:S38" totalsRowShown="0" dataDxfId="1386">
  <autoFilter ref="M24:S38" xr:uid="{94FEF257-0A90-4B66-A089-0FA47FC41378}"/>
  <tableColumns count="7">
    <tableColumn id="1" xr3:uid="{317454C9-B9F2-4455-A2B0-70457B75E1E7}" name="Month" dataDxfId="1385"/>
    <tableColumn id="8" xr3:uid="{193A01DC-0F37-49D4-81D2-2FD9D3291372}" name="2026" dataDxfId="1384" dataCellStyle="Percent"/>
    <tableColumn id="2" xr3:uid="{A0EE0496-4F5C-4AF5-BD38-FAA976A64E1A}" name="2025" dataDxfId="1383"/>
    <tableColumn id="3" xr3:uid="{B0B26AE9-98B4-4B9B-A70E-298A7D4595C8}" name="2024" dataDxfId="1382"/>
    <tableColumn id="4" xr3:uid="{C14C5A17-D490-4652-9F8D-2200F32E6C27}" name="2023" dataDxfId="1381"/>
    <tableColumn id="5" xr3:uid="{C4652A00-D08A-4AD1-BAAB-A1F44DC57852}" name="2022" dataDxfId="1380"/>
    <tableColumn id="6" xr3:uid="{2E1723CE-B7C1-4F8B-BB45-7ACE768FA13A}" name="2021" dataDxfId="1379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EAF903E-A345-43DC-952C-CC481C785FD3}" name="Table13" displayName="Table13" ref="F3:I19" totalsRowShown="0" headerRowDxfId="1378" dataDxfId="1377" tableBorderDxfId="1376">
  <autoFilter ref="F3:I19" xr:uid="{0EAF903E-A345-43DC-952C-CC481C785FD3}"/>
  <tableColumns count="4">
    <tableColumn id="1" xr3:uid="{4F1DA477-E79F-4903-97D2-F52F0D8A25FD}" name=" Month" dataDxfId="1375"/>
    <tableColumn id="2" xr3:uid="{67988522-7F92-4E5B-AF33-E76C15D258E3}" name="Accepted Offers" dataDxfId="1374"/>
    <tableColumn id="3" xr3:uid="{5D8F9A73-2528-4B12-8085-8CB0D33496D6}" name="Running Total" dataDxfId="1373"/>
    <tableColumn id="4" xr3:uid="{D45D17B9-15DD-41F6-AAE6-716BFA9BF6BE}" name="% Placed" dataDxfId="1372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6401A587-2118-4251-93AE-5AE2A368A346}" name="Table15" displayName="Table15" ref="K3:N19" totalsRowShown="0" headerRowDxfId="1371" dataDxfId="1370">
  <autoFilter ref="K3:N19" xr:uid="{6401A587-2118-4251-93AE-5AE2A368A346}"/>
  <tableColumns count="4">
    <tableColumn id="1" xr3:uid="{6F8A2BE4-B36B-4048-839C-BD321FE08081}" name=" Month" dataDxfId="1369"/>
    <tableColumn id="2" xr3:uid="{1629C4E8-AD23-4D0B-8A5A-6205A07B7B6D}" name="Accepted Offers" dataDxfId="1368"/>
    <tableColumn id="3" xr3:uid="{67C56FEF-8263-4173-A33B-169F6CA46CC7}" name="Running Total" dataDxfId="1367"/>
    <tableColumn id="4" xr3:uid="{4C785580-3E02-4645-B464-708B4289C1AE}" name="% Placed" dataDxfId="1366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2F5E5496-5229-46F6-89F5-22BB3488139E}" name="Table33" displayName="Table33" ref="P3:S19" totalsRowShown="0" headerRowDxfId="1365" dataDxfId="1364">
  <autoFilter ref="P3:S19" xr:uid="{2F5E5496-5229-46F6-89F5-22BB3488139E}"/>
  <tableColumns count="4">
    <tableColumn id="1" xr3:uid="{2E481C29-A0D7-440E-8653-7598B1AC1AAC}" name=" Month" dataDxfId="1363"/>
    <tableColumn id="2" xr3:uid="{E7A42072-EA21-4B27-A906-44CE3DAFAAB4}" name="Accepted Offers" dataDxfId="1362"/>
    <tableColumn id="3" xr3:uid="{588A3F4B-F2C0-4419-813B-AB901F3196AE}" name="Running Total" dataDxfId="1361"/>
    <tableColumn id="4" xr3:uid="{6F3CB850-7ED2-46AC-B37A-FF172D05C822}" name="% Placed" dataDxfId="1360"/>
  </tableColumns>
  <tableStyleInfo name="TableStyleMedium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FD800D1E-2DA3-482F-BD61-7D9AC14DD46D}" name="Table34" displayName="Table34" ref="U3:X19" totalsRowShown="0" headerRowDxfId="1359" dataDxfId="1358">
  <autoFilter ref="U3:X19" xr:uid="{FD800D1E-2DA3-482F-BD61-7D9AC14DD46D}"/>
  <tableColumns count="4">
    <tableColumn id="1" xr3:uid="{2B231CC9-B90D-423A-BAB7-EAECC586BDED}" name="Placement Month" dataDxfId="1357"/>
    <tableColumn id="2" xr3:uid="{0DEEC702-AF52-4840-854A-F87C3740C11F}" name="Total Students" dataDxfId="1356"/>
    <tableColumn id="3" xr3:uid="{B066503D-D5D7-4E16-991F-B0046DF67663}" name="Running Total" dataDxfId="1355"/>
    <tableColumn id="4" xr3:uid="{E8BA2483-2807-4EB4-8189-E0169A1BA139}" name="% Placed" dataDxfId="1354"/>
  </tableColumns>
  <tableStyleInfo name="TableStyleMedium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3C49437-1B2A-47A8-A19C-8F0BB7548814}" name="Table35" displayName="Table35" ref="Z3:AC19" totalsRowShown="0" headerRowDxfId="1353" dataDxfId="1352">
  <autoFilter ref="Z3:AC19" xr:uid="{73C49437-1B2A-47A8-A19C-8F0BB7548814}"/>
  <tableColumns count="4">
    <tableColumn id="1" xr3:uid="{AB7EB772-8F7D-43A4-A2AF-5A351DDD8A04}" name="Placement Month" dataDxfId="1351"/>
    <tableColumn id="2" xr3:uid="{09894D5D-7F22-42D2-9FF9-361CF4C0C08C}" name="Total Students" dataDxfId="1350"/>
    <tableColumn id="3" xr3:uid="{045EA3EE-F3BF-4EA4-AE15-9886B42BF799}" name="Running Total" dataDxfId="1349"/>
    <tableColumn id="4" xr3:uid="{4057D49E-FB24-4777-8525-3E7D8E394621}" name="% Placed" dataDxfId="1348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AD351E94-16E7-42EB-9A5F-CD61F82683E4}" name="Table1337" displayName="Table1337" ref="A3:D19" totalsRowShown="0" headerRowDxfId="1347" dataDxfId="1346" tableBorderDxfId="1345">
  <autoFilter ref="A3:D19" xr:uid="{AD351E94-16E7-42EB-9A5F-CD61F82683E4}"/>
  <tableColumns count="4">
    <tableColumn id="1" xr3:uid="{4846B9DC-2933-4547-A193-517EE3BFE8EE}" name="Placement Month" dataDxfId="1344"/>
    <tableColumn id="2" xr3:uid="{CAB3D65B-1DCE-4B5C-A4BF-06A0F0766ED6}" name="Accepted Offers" dataDxfId="1343"/>
    <tableColumn id="3" xr3:uid="{32AEAA99-E4A1-4F2A-B6DE-0076ABD1F276}" name="Running Total" dataDxfId="1342"/>
    <tableColumn id="4" xr3:uid="{09CF740D-5835-48B4-B239-E2E0923F15ED}" name="% Placed" dataDxfId="1341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FBC830D-53F4-4601-9931-788B07C8FDA7}" name="Table14" displayName="Table14" ref="A23:AL24" totalsRowShown="0" headerRowDxfId="1340" dataDxfId="1339" tableBorderDxfId="1338">
  <autoFilter ref="A23:AL24" xr:uid="{63CF7AF0-AB99-4A18-9A12-F743EE842F1E}"/>
  <tableColumns count="38">
    <tableColumn id="1" xr3:uid="{4C5C0EE6-57DB-48D8-A1A7-652537C289CC}" name="Placement" dataDxfId="1337"/>
    <tableColumn id="2" xr3:uid="{2F387CC6-D780-4FFE-AE8F-742E4B8F7BDF}" name="10/13/2025" dataDxfId="1336"/>
    <tableColumn id="3" xr3:uid="{35815B9F-6803-4D82-B4AB-1828A0F19E22}" name="10/17/2025" dataDxfId="1335"/>
    <tableColumn id="4" xr3:uid="{C5AE45FD-0650-4E93-BBC2-4BDAA4BE1A68}" name="10/24/2025" dataDxfId="1334"/>
    <tableColumn id="5" xr3:uid="{96FDF611-C00F-4E36-A519-92FFFEE42CDE}" name="10/31/2025" dataDxfId="1333"/>
    <tableColumn id="6" xr3:uid="{851E50C7-59A0-48E8-AB99-854C5654CADE}" name="11/7/2025" dataDxfId="1332"/>
    <tableColumn id="7" xr3:uid="{E0BAADA5-58C5-4A16-82CF-82653CA51E30}" name="11/14/2025" dataDxfId="1331"/>
    <tableColumn id="8" xr3:uid="{EA7F9A5F-09C5-418C-8E6D-DD4B29429C3F}" name="11/21/2025" dataDxfId="1330"/>
    <tableColumn id="9" xr3:uid="{1B9540A2-C748-4363-9334-751A093D5326}" name="11/28/2025" dataDxfId="1329"/>
    <tableColumn id="10" xr3:uid="{79C6DAD0-0832-442F-A326-9AF54378C318}" name="12/5/2025" dataDxfId="1328"/>
    <tableColumn id="11" xr3:uid="{6FF248D4-61A5-4FAB-9F5E-702AE1266C9E}" name="12/12/2025" dataDxfId="1327"/>
    <tableColumn id="12" xr3:uid="{1664EDF9-DFE3-4726-8B26-6F5AA87538B6}" name="12/19/2025" dataDxfId="1326"/>
    <tableColumn id="13" xr3:uid="{E1070D6D-3D8D-4C94-808D-345B65860E9C}" name="12/26/2025" dataDxfId="1325"/>
    <tableColumn id="14" xr3:uid="{0B4B3FEA-2D85-4091-9754-09E195D37F30}" name="1/2/2026" dataDxfId="1324"/>
    <tableColumn id="15" xr3:uid="{62879AC6-C9E0-4D50-8408-D6578F27980A}" name="1/9/2026" dataDxfId="1323"/>
    <tableColumn id="16" xr3:uid="{AF1305DF-5716-47C0-AA60-D7B5992103F6}" name="1/16/2026" dataDxfId="1322"/>
    <tableColumn id="17" xr3:uid="{287E577E-3750-400A-854A-1EB20AC438EA}" name="1/23/2026" dataDxfId="1321"/>
    <tableColumn id="18" xr3:uid="{9D5DEE68-6545-4E5F-AA26-B9D24381D467}" name="1/30/2026" dataDxfId="1320"/>
    <tableColumn id="21" xr3:uid="{D135263B-AAC5-4951-9685-8E1072F05CFC}" name="2/6/2026" dataDxfId="1319"/>
    <tableColumn id="22" xr3:uid="{771B15BB-A5B8-4B22-8650-09ECC11E6789}" name="2/13/2026" dataDxfId="1318"/>
    <tableColumn id="23" xr3:uid="{DCBD099F-CF0A-43BF-99C2-2DB885608309}" name="2/20/2026" dataDxfId="1317"/>
    <tableColumn id="24" xr3:uid="{51C3A83B-C814-44CB-AA95-705B408A659A}" name="2/27/2026" dataDxfId="1316"/>
    <tableColumn id="19" xr3:uid="{ED502FD4-0B3C-4008-A5A6-C31B48522728}" name="3/13/2026" dataDxfId="1315"/>
    <tableColumn id="20" xr3:uid="{CB8DFACE-130E-487A-9266-9CC93CA5DCCD}" name="3/20/2026" dataDxfId="1314"/>
    <tableColumn id="25" xr3:uid="{BB01E2FF-F559-4323-B96B-29BB98635E1A}" name="3/27/2026" dataDxfId="1313"/>
    <tableColumn id="26" xr3:uid="{37D81F90-BF2D-4746-B357-B4B457376DB8}" name="4/3/2026" dataDxfId="1312"/>
    <tableColumn id="27" xr3:uid="{100A9ED3-74A8-469E-8EAB-74D181282A9E}" name="4/10/2026" dataDxfId="1311"/>
    <tableColumn id="28" xr3:uid="{E82EEDC4-2850-4533-A8EE-7C40C895C99D}" name="4/17/2026" dataDxfId="1310"/>
    <tableColumn id="29" xr3:uid="{B3F3A088-931D-49E6-817B-88F5CA7C8D6F}" name="4/24/2026" dataDxfId="1309"/>
    <tableColumn id="30" xr3:uid="{4C02B73A-329E-4C4E-9B1C-737634239546}" name="5/1/2026" dataDxfId="1308"/>
    <tableColumn id="31" xr3:uid="{3CC4953C-158C-4444-928B-3509AF1B7EB2}" name="5/8/2026" dataDxfId="1307"/>
    <tableColumn id="32" xr3:uid="{77858D8F-D9A6-FA4B-98A3-19EBCDAEA361}" name="5/15/2026" dataDxfId="1306"/>
    <tableColumn id="33" xr3:uid="{43A8591C-1455-DC47-BA18-2BA1D4E7BA21}" name="5/22/2026" dataDxfId="1305"/>
    <tableColumn id="34" xr3:uid="{DBB7FE73-FD5C-2D40-A6F5-30BEA61ABA82}" name="05/29/2026" dataDxfId="1304"/>
    <tableColumn id="35" xr3:uid="{95BF7F87-7904-D74B-8394-095F2C617B3E}" name="6/5/2026" dataDxfId="1303"/>
    <tableColumn id="36" xr3:uid="{28AD5881-8DB8-9A49-BADD-77FD82009056}" name="6/12/2026" dataDxfId="1302"/>
    <tableColumn id="37" xr3:uid="{AD7B8EAE-E617-EF42-A453-2556E2DC157B}" name="6/19/2026" dataDxfId="1301"/>
    <tableColumn id="38" xr3:uid="{E52BBACF-3154-0E4F-B4CF-06B895B84B19}" name="6/26/2026" dataDxfId="1300"/>
  </tableColumns>
  <tableStyleInfo name="TableStyleLight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8ED6873-53CD-4ED5-B856-7F1555CC6197}" name="Table25" displayName="Table25" ref="A26:AL37" totalsRowShown="0" headerRowDxfId="1299" dataDxfId="1298" tableBorderDxfId="1297">
  <autoFilter ref="A26:AL37" xr:uid="{0438CA60-DD76-4136-BC18-AD22F5B6EB0C}"/>
  <tableColumns count="38">
    <tableColumn id="1" xr3:uid="{C4F07B87-0E55-4FA5-BC77-6A7C19CF53C9}" name="Job Search Status" dataDxfId="1296"/>
    <tableColumn id="2" xr3:uid="{6F8792A9-122E-43DC-AA86-814004EC23E5}" name="10/13/2025" dataDxfId="1295"/>
    <tableColumn id="3" xr3:uid="{16B27BEF-9D64-4245-B9AB-E4138BA00B57}" name="10/17/2025" dataDxfId="1294"/>
    <tableColumn id="4" xr3:uid="{B9BE4671-C670-48B2-8B95-99A21917E8BE}" name="10/24/2025" dataDxfId="1293"/>
    <tableColumn id="5" xr3:uid="{A084B7BC-5905-4ED9-94CC-C892B1E759AB}" name="10/31/2025" dataDxfId="1292"/>
    <tableColumn id="6" xr3:uid="{E57B8947-29AD-4D19-B930-1D72FA50BA6E}" name="11/7/2025" dataDxfId="1291"/>
    <tableColumn id="7" xr3:uid="{9F7AB67C-7279-48DC-8F42-E7DA1B0591A8}" name="11/14/2025" dataDxfId="1290"/>
    <tableColumn id="8" xr3:uid="{064281C7-CDBB-4F96-9265-5169E9CC726D}" name="11/21/2025" dataDxfId="1289"/>
    <tableColumn id="9" xr3:uid="{30D5F88A-D42A-438C-A1E3-83EE991D0E2B}" name="11/28/2025" dataDxfId="1288"/>
    <tableColumn id="10" xr3:uid="{85CF5561-8222-41D4-8539-14F7A83FF7C4}" name="12/5/2025" dataDxfId="1287"/>
    <tableColumn id="11" xr3:uid="{9C23C3B4-7987-4F94-A9AE-937A827C856B}" name="12/12/2025" dataDxfId="1286"/>
    <tableColumn id="12" xr3:uid="{A888B320-495C-4DA2-9D80-7AC35DEBB29C}" name="12/19/2025" dataDxfId="1285"/>
    <tableColumn id="13" xr3:uid="{989876B1-3B3C-44D0-A948-BA47BEA5A76F}" name="12/26/2025" dataDxfId="1284"/>
    <tableColumn id="14" xr3:uid="{AD347DD0-9B18-4A6F-B24B-844724EC9463}" name="1/2/2026" dataDxfId="1283"/>
    <tableColumn id="15" xr3:uid="{37C9B57D-EF55-40D8-A7BC-2A1E5E0C9F2A}" name="1/9/2026" dataDxfId="1282"/>
    <tableColumn id="16" xr3:uid="{ABEC9DAF-F761-4B5B-89F8-DCCDD3B1A6A8}" name="1/16/2026" dataDxfId="1281"/>
    <tableColumn id="17" xr3:uid="{EC64B89F-8C76-4926-9661-D940BC55EE50}" name="1/23/2026" dataDxfId="1280" dataCellStyle="Currency"/>
    <tableColumn id="18" xr3:uid="{7DF388F9-C10B-41EF-BB76-EDFE1A87BD79}" name="1/30/2026" dataDxfId="1279"/>
    <tableColumn id="20" xr3:uid="{45F3CB62-5272-492D-AFD7-499283F27292}" name="2/6/2026" dataDxfId="1278"/>
    <tableColumn id="21" xr3:uid="{0A730415-0835-445A-97AD-918FE7702B9A}" name="2/13/2026" dataDxfId="1277"/>
    <tableColumn id="22" xr3:uid="{66353BFC-735F-4558-96AC-A528B74D4DAF}" name="2/20/2026" dataDxfId="1276"/>
    <tableColumn id="23" xr3:uid="{F73177DA-62B6-470C-9EE0-F79038E7BF5D}" name="2/27/2026" dataDxfId="1275"/>
    <tableColumn id="25" xr3:uid="{1C11D7D6-92F8-4E0F-A230-93B03A10DC15}" name="3/13/2026" dataDxfId="1274"/>
    <tableColumn id="26" xr3:uid="{C7C2A417-A192-452E-B6C4-49EAC0634E96}" name="3/20/2026" dataDxfId="1273"/>
    <tableColumn id="27" xr3:uid="{74BA46D2-1A6E-4D9D-B4C5-63D1FDF948FA}" name="3/27/2026" dataDxfId="1272"/>
    <tableColumn id="19" xr3:uid="{885E5E62-7641-401E-9AE4-10DF32ACFBB0}" name="4/3/2026" dataDxfId="1271"/>
    <tableColumn id="32" xr3:uid="{866B93D8-6115-40C0-AC86-F60B54BF0100}" name="4/10/2026" dataDxfId="1270"/>
    <tableColumn id="33" xr3:uid="{D90C2E31-A537-4781-9763-5313D72F746D}" name="4/17/2026" dataDxfId="1269"/>
    <tableColumn id="34" xr3:uid="{61D1579A-FA33-42BE-AF98-5A68FEADC833}" name="4/24/2026" dataDxfId="1268"/>
    <tableColumn id="24" xr3:uid="{12F535BD-2C42-FE42-840D-6B49797682D6}" name="5/1/2026" dataDxfId="1267"/>
    <tableColumn id="28" xr3:uid="{AF379CCD-197B-7144-8F26-880130A437E9}" name="5/8/2026" dataDxfId="1266"/>
    <tableColumn id="29" xr3:uid="{6F31C91D-4058-5F45-BB56-74542ECF4589}" name="5/15/2026" dataDxfId="1265"/>
    <tableColumn id="30" xr3:uid="{82176844-AF71-104B-B8AA-7946C1F8934C}" name="5/22/2026" dataDxfId="1264"/>
    <tableColumn id="31" xr3:uid="{DE7C9044-3608-7C49-8DBF-7C2BEE98A959}" name="05/29/2026" dataDxfId="1263"/>
    <tableColumn id="35" xr3:uid="{F3762E2E-2936-3149-90DE-4FCF6D3A88B4}" name="6/5/2026" dataDxfId="1262"/>
    <tableColumn id="36" xr3:uid="{0B5EF9B0-EAFF-5B40-9A9C-3D52EB8410C3}" name="6/12/2026" dataDxfId="1261"/>
    <tableColumn id="37" xr3:uid="{CC933969-F60B-FE46-A644-3C7EAA64E3FE}" name="6/19/2026" dataDxfId="1260"/>
    <tableColumn id="38" xr3:uid="{12FB596F-0F81-EB4C-B22A-ED5437B57F9C}" name="6/26/2026" dataDxfId="1259"/>
  </tableColumns>
  <tableStyleInfo name="TableStyleLight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38CA60-DD76-4136-BC18-AD22F5B6EB0C}" name="Table2" displayName="Table2" ref="A43:AL54" totalsRowShown="0" headerRowDxfId="1258" dataDxfId="1257" tableBorderDxfId="1256">
  <autoFilter ref="A43:AL54" xr:uid="{0438CA60-DD76-4136-BC18-AD22F5B6EB0C}"/>
  <tableColumns count="38">
    <tableColumn id="1" xr3:uid="{F5BF60C6-E3B4-4C98-A37F-C1F3C4E75A70}" name="Job Search Status" dataDxfId="1255"/>
    <tableColumn id="2" xr3:uid="{F7773356-1C74-431E-A703-6E210000EF29}" name="10/13/2025" dataDxfId="1254"/>
    <tableColumn id="3" xr3:uid="{F2A65EBB-81E6-4E3F-AA09-17B613CE03D7}" name="10/17/2025" dataDxfId="1253"/>
    <tableColumn id="4" xr3:uid="{8F17CE2C-EED7-441D-9E05-15045B305765}" name="10/24/2025" dataDxfId="1252"/>
    <tableColumn id="5" xr3:uid="{084579E1-C865-4974-B0DA-B99B36385B61}" name="10/31/2025" dataDxfId="1251"/>
    <tableColumn id="6" xr3:uid="{ECE47720-6A33-408D-A87E-39821EA401A2}" name="11/7/2025" dataDxfId="1250"/>
    <tableColumn id="7" xr3:uid="{CD61F976-4118-4432-91DE-FCCEAD543A71}" name="11/14/2025" dataDxfId="1249"/>
    <tableColumn id="8" xr3:uid="{B511292B-5A47-49C1-9C6E-2EEF9494F69B}" name="11/21/2025" dataDxfId="1248"/>
    <tableColumn id="9" xr3:uid="{FEAEBB56-77E2-4177-9238-BE9C1167FF99}" name="11/28/2025" dataDxfId="1247"/>
    <tableColumn id="10" xr3:uid="{DF1B3F54-67EA-4CF0-9F70-AE14C35E94E5}" name="12/5/2025" dataDxfId="1246"/>
    <tableColumn id="11" xr3:uid="{517ECE55-1C02-4BFF-9913-5BD8F2F2E47A}" name="12/12/2025" dataDxfId="1245"/>
    <tableColumn id="12" xr3:uid="{409783CB-4178-453F-B3DD-E652B4CA819A}" name="12/19/2025" dataDxfId="1244"/>
    <tableColumn id="13" xr3:uid="{B3AF9706-5BA5-4555-B5F0-F45DD84D5E62}" name="12/26/2025" dataDxfId="1243"/>
    <tableColumn id="14" xr3:uid="{B0DF469D-E7AC-4715-B4B7-FA7D042F608D}" name="1/2/2026" dataDxfId="1242"/>
    <tableColumn id="15" xr3:uid="{A729D17C-A0FE-4769-AA79-E7317F718A05}" name="1/9/2026" dataDxfId="1241"/>
    <tableColumn id="16" xr3:uid="{AE944C7E-503D-4B8C-8B3F-044EB539DE07}" name="1/16/2026" dataDxfId="1240"/>
    <tableColumn id="17" xr3:uid="{D611BD61-D6F8-4F1D-826A-8A7E822DC0CF}" name="1/23/2026" dataDxfId="1239"/>
    <tableColumn id="18" xr3:uid="{9E293233-A6CC-4654-960B-2C719825F1C2}" name="1/30/2026" dataDxfId="1238"/>
    <tableColumn id="19" xr3:uid="{32C2392A-751F-4CF5-A3CC-E47C1528A964}" name="2/6/2026" dataDxfId="1237"/>
    <tableColumn id="20" xr3:uid="{23B4CD19-1CAA-48CE-8497-992FFCB95432}" name="2/13/2026" dataDxfId="1236"/>
    <tableColumn id="21" xr3:uid="{D13AFCFA-75D2-4D1B-AAD4-D0D7AEE6E3C1}" name="2/20/2026" dataDxfId="1235"/>
    <tableColumn id="22" xr3:uid="{64A178D3-A359-4AF4-89D2-E2DB7D1564D9}" name="2/27/2026" dataDxfId="1234"/>
    <tableColumn id="24" xr3:uid="{599917A4-7FCF-4D4D-B0FA-35C65367C736}" name="3/13/2026" dataDxfId="1233"/>
    <tableColumn id="25" xr3:uid="{112950C1-DD22-437D-A446-3312D54522AA}" name="3/20/2026" dataDxfId="1232"/>
    <tableColumn id="26" xr3:uid="{4E51BA45-FDF0-4DC0-94B3-FA41B6FC3CE4}" name="3/27/2026" dataDxfId="1231"/>
    <tableColumn id="23" xr3:uid="{2BEEC8BA-D52A-4AF2-AC8E-4FBA4AA7D5E2}" name="4/3/2026" dataDxfId="1230"/>
    <tableColumn id="27" xr3:uid="{B63A077B-4523-4B54-82FB-66F6D9D86922}" name="4/10/2026" dataDxfId="1229"/>
    <tableColumn id="28" xr3:uid="{042CBF19-8E7A-4375-9193-6E42ECFAD30D}" name="4/17/2026" dataDxfId="1228"/>
    <tableColumn id="29" xr3:uid="{D9DA595E-737A-48C8-ADE3-E23C64F1ADEB}" name="4/24/2026" dataDxfId="1227"/>
    <tableColumn id="30" xr3:uid="{BC531F42-CAB1-E54F-A050-55748F72123E}" name="5/1/2026" dataDxfId="1226"/>
    <tableColumn id="31" xr3:uid="{0DF7CB55-7F44-BE49-9324-C0CCA43A0C73}" name="5/8/2026" dataDxfId="1225"/>
    <tableColumn id="32" xr3:uid="{F90ECFD3-5886-D644-86AB-048215DA4B7F}" name="5/15/2026" dataDxfId="1224"/>
    <tableColumn id="33" xr3:uid="{3218A7D2-0F60-9D43-9718-80DFB9ADC8E0}" name="5/22/2026" dataDxfId="1223"/>
    <tableColumn id="34" xr3:uid="{0D8E111A-2BBA-2B48-BD78-D643227E45A9}" name="05/29/2026" dataDxfId="1222"/>
    <tableColumn id="35" xr3:uid="{4201C44F-DF1E-3742-91E1-F4E94CC87E93}" name="6/5/2026" dataDxfId="1221"/>
    <tableColumn id="36" xr3:uid="{B9F85641-8432-BC49-8199-8170FD047DB2}" name="6/12/2026" dataDxfId="1220"/>
    <tableColumn id="37" xr3:uid="{EB32EC3C-6679-4F44-9717-F5DB0817FB1D}" name="6/19/2026" dataDxfId="1219"/>
    <tableColumn id="38" xr3:uid="{19F1AADF-C0E5-2E49-9151-C619D2E04C47}" name="6/26/2026" dataDxfId="1218"/>
  </tableColumns>
  <tableStyleInfo name="TableStyleLight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CF7AF0-AB99-4A18-9A12-F743EE842F1E}" name="Table1" displayName="Table1" ref="A40:AL41" totalsRowShown="0" headerRowDxfId="1217" dataDxfId="1216" tableBorderDxfId="1215">
  <autoFilter ref="A40:AL41" xr:uid="{63CF7AF0-AB99-4A18-9A12-F743EE842F1E}"/>
  <tableColumns count="38">
    <tableColumn id="1" xr3:uid="{4891FFA5-E2B1-4327-9C00-3EFE861F2334}" name="Placement" dataDxfId="1214"/>
    <tableColumn id="2" xr3:uid="{9A140920-CCD4-4CFF-9A76-4A3C5D177B4B}" name="10/13/2025" dataDxfId="1213"/>
    <tableColumn id="3" xr3:uid="{9D84D43D-CAE4-4987-B78A-798F5614F4FF}" name="10/17/2025" dataDxfId="1212"/>
    <tableColumn id="4" xr3:uid="{74E0A759-32EB-4FBC-AE4B-184F491D507B}" name="10/24/2025" dataDxfId="1211"/>
    <tableColumn id="5" xr3:uid="{E2627C6A-5D11-4F38-845E-7DCEBA9E6AB2}" name="10/31/2025" dataDxfId="1210"/>
    <tableColumn id="6" xr3:uid="{05BD1C7B-C8CA-495C-961B-FB8B2DD0D7B1}" name="11/7/2025" dataDxfId="1209"/>
    <tableColumn id="7" xr3:uid="{2A2B60EB-0E00-43B8-882C-0EBB1995F994}" name="11/14/2025" dataDxfId="1208"/>
    <tableColumn id="8" xr3:uid="{8F0A7DEE-B852-4287-9F9A-0D0A1EC1045F}" name="11/21/2025" dataDxfId="1207"/>
    <tableColumn id="9" xr3:uid="{035FD27F-0445-432C-9F7D-8743D9B08D7E}" name="11/28/2025" dataDxfId="1206"/>
    <tableColumn id="10" xr3:uid="{7CF6772B-1122-4929-8C4B-31F8C311CB94}" name="12/5/2025" dataDxfId="1205"/>
    <tableColumn id="11" xr3:uid="{C81A0DD7-B246-4B7E-B071-0DD6FA32EFBD}" name="12/12/2025" dataDxfId="1204"/>
    <tableColumn id="12" xr3:uid="{9DB2DB8A-5D81-4FBB-93D8-CE117BAADAD6}" name="12/19/2025" dataDxfId="1203"/>
    <tableColumn id="13" xr3:uid="{CBEE1CDB-4CA0-41CF-8A48-2A11E88EF81B}" name="12/26/2025" dataDxfId="1202"/>
    <tableColumn id="14" xr3:uid="{D169A18E-AE35-4BCE-9890-585F80D764C1}" name="1/2/2026" dataDxfId="1201"/>
    <tableColumn id="15" xr3:uid="{8F7C344E-C6EA-4E2A-BF91-AA34AC356B79}" name="1/9/2026" dataDxfId="1200"/>
    <tableColumn id="16" xr3:uid="{4F4825C3-595A-4088-BB62-6AC86FB11020}" name="1/16/2026" dataDxfId="1199"/>
    <tableColumn id="17" xr3:uid="{6C2FE274-FA5E-4658-8E6E-9B898BB9342E}" name="1/23/2026"/>
    <tableColumn id="18" xr3:uid="{881A25D6-8A6E-4099-B695-DCBCEABF3F7E}" name="1/30/2026" dataDxfId="1198"/>
    <tableColumn id="19" xr3:uid="{3E8F8BC6-C5AD-4276-8352-383AEF66CB67}" name="2/6/2026" dataDxfId="1197"/>
    <tableColumn id="20" xr3:uid="{EEFDFB2B-B8EE-41D2-849C-F6B5EC78B700}" name="2/13/2026" dataDxfId="1196"/>
    <tableColumn id="21" xr3:uid="{4091CB42-E236-4659-A3B7-F986D81755FA}" name="2/20/2026" dataDxfId="1195"/>
    <tableColumn id="22" xr3:uid="{17064D26-1BEA-44DF-86E2-C442938EE67B}" name="2/27/2026" dataDxfId="1194"/>
    <tableColumn id="23" xr3:uid="{F014264B-4722-41B9-BFB0-B70B49FB645D}" name="3/13/2026" dataDxfId="1193"/>
    <tableColumn id="24" xr3:uid="{34ECCA29-10D2-4AA5-8062-BD422A79363F}" name="3/20/2026" dataDxfId="1192"/>
    <tableColumn id="25" xr3:uid="{5E42F83D-9101-401E-A118-16A52E825B23}" name="3/27/2026" dataDxfId="1191"/>
    <tableColumn id="26" xr3:uid="{A1C98457-8158-4F85-92B0-582FA6F9D1DC}" name="4/3/2026" dataDxfId="1190"/>
    <tableColumn id="27" xr3:uid="{FD52B7BD-EB78-4395-886E-3CE8415471EE}" name="4/10/2026" dataDxfId="1189"/>
    <tableColumn id="28" xr3:uid="{E390F5B0-73EB-45D6-962A-18C6AC3C7D60}" name="4/17/2026" dataDxfId="1188"/>
    <tableColumn id="29" xr3:uid="{9CEEEEBC-8ECE-47A9-826F-7FB5ACB451C4}" name="4/24/2026" dataDxfId="1187"/>
    <tableColumn id="30" xr3:uid="{4B47264B-5A3C-E34E-86C9-ADEBCA8B1236}" name="5/1/2026" dataDxfId="1186"/>
    <tableColumn id="31" xr3:uid="{145F3204-B823-804F-8515-A91FC709496A}" name="5/8/2026" dataDxfId="1185"/>
    <tableColumn id="32" xr3:uid="{0C6459F2-9CE7-E549-A471-7B6F6955A0FE}" name="5/15/2026" dataDxfId="1184"/>
    <tableColumn id="33" xr3:uid="{9F2FD4ED-D23D-7C4C-98F9-46EB5D459848}" name="5/22/2026" dataDxfId="1183"/>
    <tableColumn id="34" xr3:uid="{8F269362-10A1-3B46-93BA-1C6BE130A295}" name="05/29/2026" dataDxfId="1182" dataCellStyle="Percent"/>
    <tableColumn id="35" xr3:uid="{17B552EC-0590-3047-B50B-D6DADAD43F07}" name="6/5/2026" dataDxfId="1181" dataCellStyle="Percent"/>
    <tableColumn id="36" xr3:uid="{4F0D0930-5D09-9B4A-AD0A-EA36B3B52EC3}" name="6/12/2026" dataDxfId="1180" dataCellStyle="Percent"/>
    <tableColumn id="37" xr3:uid="{63C66CEF-CDD0-DF41-BE4F-89852B61E0A0}" name="6/19/2026" dataDxfId="1179" dataCellStyle="Percent"/>
    <tableColumn id="38" xr3:uid="{19F48899-1DB5-2941-9A38-DC09D8566988}" name="6/26/2026" dataDxfId="1178" dataCellStyle="Percent"/>
  </tableColumns>
  <tableStyleInfo name="TableStyleLight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C6167DE-DD21-413C-A643-70C6198AA9C4}" name="Table16" displayName="Table16" ref="A57:AL58" totalsRowShown="0" headerRowDxfId="1177" dataDxfId="1176" tableBorderDxfId="1175">
  <autoFilter ref="A57:AL58" xr:uid="{63CF7AF0-AB99-4A18-9A12-F743EE842F1E}"/>
  <tableColumns count="38">
    <tableColumn id="1" xr3:uid="{606A9D5E-1D68-456B-8251-BC55104DDCD0}" name="Placement" dataDxfId="1174"/>
    <tableColumn id="2" xr3:uid="{95A6BCBA-CE2C-41B1-B03B-261B984027D6}" name="10/13/2025" dataDxfId="1173"/>
    <tableColumn id="3" xr3:uid="{CF1D9C6A-4A77-4025-B01D-D0B353C2E50B}" name="10/17/2025" dataDxfId="1172"/>
    <tableColumn id="4" xr3:uid="{06A20D1C-C836-4352-BA8F-667A4F087168}" name="10/24/2025" dataDxfId="1171"/>
    <tableColumn id="5" xr3:uid="{768A5E81-034A-4911-980E-50AE30FF9090}" name="10/31/2025" dataDxfId="1170"/>
    <tableColumn id="6" xr3:uid="{8DC983C2-D721-4C3F-AC73-07E3600A0BAD}" name="11/7/2025" dataDxfId="1169"/>
    <tableColumn id="7" xr3:uid="{22A829C3-0378-42BC-81DD-5B03DD744508}" name="11/14/2025" dataDxfId="1168"/>
    <tableColumn id="8" xr3:uid="{28AAC6CF-389F-4BF6-99B0-F537985CFCAF}" name="11/21/2025" dataDxfId="1167"/>
    <tableColumn id="9" xr3:uid="{1906B4FD-532B-4F5F-AE93-31CE9BC8DFFE}" name="11/28/2025" dataDxfId="1166"/>
    <tableColumn id="10" xr3:uid="{396FE850-C7F3-454C-B09F-F09302C37C42}" name="12/5/2025" dataDxfId="1165"/>
    <tableColumn id="11" xr3:uid="{A8D06CD7-8691-40F6-BB8A-E01E05E75A61}" name="12/12/2025" dataDxfId="1164"/>
    <tableColumn id="12" xr3:uid="{67627DF0-06E9-4E3F-B945-5AB6A0BE3F3C}" name="12/19/2025" dataDxfId="1163"/>
    <tableColumn id="13" xr3:uid="{E0E93E11-EBF7-44C4-AD03-815EE9D033DC}" name="12/26/2025" dataDxfId="1162"/>
    <tableColumn id="14" xr3:uid="{03FCCF34-AB8F-41D0-9172-D8FB1DDB81A7}" name="1/2/2026" dataDxfId="1161"/>
    <tableColumn id="15" xr3:uid="{7CE76BB6-460A-4876-A33B-556773C8C4C0}" name="1/9/2026" dataDxfId="1160"/>
    <tableColumn id="16" xr3:uid="{E068ACED-3AAB-43FC-B8FB-72395AA4F534}" name="1/16/2026" dataDxfId="1159"/>
    <tableColumn id="17" xr3:uid="{AFE08A8F-3298-4317-9AC4-74D64456FA36}" name="1/23/2026" dataDxfId="1158"/>
    <tableColumn id="18" xr3:uid="{D61C887A-D70A-4A22-B2F7-722EA4C3F9CA}" name="1/30/2026" dataDxfId="1157"/>
    <tableColumn id="19" xr3:uid="{BFD99409-C3A1-4116-A63F-D82E95DC059B}" name="2/6/2026" dataDxfId="1156"/>
    <tableColumn id="20" xr3:uid="{37DA6A29-B788-4570-A6C5-BF606A61581C}" name="2/13/2026" dataDxfId="1155"/>
    <tableColumn id="21" xr3:uid="{02A8419B-286E-4B2F-BA49-EBC4017D0381}" name="2/20/2026" dataDxfId="1154"/>
    <tableColumn id="22" xr3:uid="{CA17BCA0-3BD1-41CD-878E-36BA9F196DD9}" name="2/27/2026" dataDxfId="1153"/>
    <tableColumn id="23" xr3:uid="{38A38D60-E3DC-4A75-A2AD-924653F9BAE9}" name="3/13/2026" dataDxfId="1152"/>
    <tableColumn id="24" xr3:uid="{8E630DF1-4356-4AB9-8CCF-024FEDF6791D}" name="3/20/2026" dataDxfId="1151"/>
    <tableColumn id="25" xr3:uid="{AAA0ECA1-145A-4909-BC4D-27108E65659F}" name="3/27/2026" dataDxfId="1150"/>
    <tableColumn id="26" xr3:uid="{B1DDAE62-2AC4-4D9A-AD9D-B95C7BEC2C70}" name="4/3/2026" dataDxfId="1149"/>
    <tableColumn id="27" xr3:uid="{8C632780-2453-4EE7-9C1C-7C2F6D254942}" name="4/10/2026" dataDxfId="1148"/>
    <tableColumn id="28" xr3:uid="{79DBA039-6166-4E15-B155-F0D6EB90A5ED}" name="4/17/2026" dataDxfId="1147"/>
    <tableColumn id="29" xr3:uid="{DD706749-CB82-4851-9FAF-EB0BBE79C941}" name="4/24/2026" dataDxfId="1146"/>
    <tableColumn id="30" xr3:uid="{E43295C5-3BCA-044F-8F31-8337C4573832}" name="5/1/2026" dataDxfId="1145"/>
    <tableColumn id="31" xr3:uid="{DA77B3B5-78E6-5B49-B249-863C62EDF87C}" name="5/8/2026" dataDxfId="1144"/>
    <tableColumn id="32" xr3:uid="{E6F6CC4C-04ED-3242-9486-07DD2A90EA50}" name="5/15/2026" dataDxfId="1143"/>
    <tableColumn id="33" xr3:uid="{86A01519-354A-7D4A-9C9B-26899B95D78B}" name="5/22/2026" dataDxfId="1142"/>
    <tableColumn id="34" xr3:uid="{3CF61205-E90F-4647-808D-D379E6EBCF91}" name="05/29/2026" dataDxfId="1141"/>
    <tableColumn id="35" xr3:uid="{33490936-025E-1846-B2FA-605CB9AF8F10}" name="6/5/2026" dataDxfId="1140"/>
    <tableColumn id="36" xr3:uid="{76390405-3A10-5C47-B418-2C132ADE98AA}" name="6/12/2026" dataDxfId="1139"/>
    <tableColumn id="37" xr3:uid="{D5351F0D-1065-7C4C-BCFF-A9D42C382179}" name="6/19/2026" dataDxfId="1138"/>
    <tableColumn id="38" xr3:uid="{B9EFF093-705D-9547-957B-1FD33353439B}" name="6/26/2026" dataDxfId="1137"/>
  </tableColumns>
  <tableStyleInfo name="TableStyleLight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8CA1146-7BB0-4525-A768-2105EA17C247}" name="Table27" displayName="Table27" ref="A60:AL71" totalsRowShown="0" headerRowDxfId="1136" dataDxfId="1135" tableBorderDxfId="1134">
  <autoFilter ref="A60:AL71" xr:uid="{0438CA60-DD76-4136-BC18-AD22F5B6EB0C}"/>
  <tableColumns count="38">
    <tableColumn id="1" xr3:uid="{62A1245B-C260-4786-A766-218EC567E293}" name="Job Search Status" dataDxfId="1133"/>
    <tableColumn id="2" xr3:uid="{DC16F72E-F77F-4B7B-BEAC-FFDFF33C1006}" name="10/13/2025" dataDxfId="1132"/>
    <tableColumn id="3" xr3:uid="{5C4ABFAF-6103-4592-A7D9-B2C318D1AF28}" name="10/17/2025" dataDxfId="1131"/>
    <tableColumn id="4" xr3:uid="{49D624A2-40B5-4F04-A5E6-244009B2E025}" name="10/24/2025" dataDxfId="1130"/>
    <tableColumn id="5" xr3:uid="{D6FE1319-A8BC-4F5D-8BA2-B742B33D43A5}" name="10/31/2025" dataDxfId="1129"/>
    <tableColumn id="6" xr3:uid="{F03C0A05-89DC-4BFD-AA6F-FDE147B8F0A5}" name="11/7/2025" dataDxfId="1128"/>
    <tableColumn id="7" xr3:uid="{9E7F598D-355D-4423-AC78-8F653AF20BA3}" name="11/14/2025" dataDxfId="1127"/>
    <tableColumn id="8" xr3:uid="{8FF6F956-000D-4C7B-9F72-9B5246081B0A}" name="11/21/2025" dataDxfId="1126"/>
    <tableColumn id="9" xr3:uid="{21E0D869-ADA6-4FDA-9F53-96B050890804}" name="11/28/2025" dataDxfId="1125"/>
    <tableColumn id="10" xr3:uid="{709E3427-0152-450A-8B8C-97E0A25DDE83}" name="12/5/2025" dataDxfId="1124"/>
    <tableColumn id="11" xr3:uid="{E7239C6A-7388-4F1C-87D8-20E1A2290333}" name="12/12/2025" dataDxfId="1123"/>
    <tableColumn id="12" xr3:uid="{0FB407F3-BCA0-4A3A-A682-AF6EC3A45905}" name="12/19/2025" dataDxfId="1122"/>
    <tableColumn id="13" xr3:uid="{54B9D6EB-CBB7-4A9C-92E9-08C6037775E9}" name="12/26/2025" dataDxfId="1121"/>
    <tableColumn id="14" xr3:uid="{04DD2F30-6292-4FB2-8D21-20BE6FE1A47C}" name="1/2/2026" dataDxfId="1120"/>
    <tableColumn id="15" xr3:uid="{5A861357-7383-45BB-A5C5-EC54200F9384}" name="1/9/2026" dataDxfId="1119"/>
    <tableColumn id="16" xr3:uid="{4805A2C5-A581-4133-AB0B-758FA60C98C6}" name="1/16/2026" dataDxfId="1118"/>
    <tableColumn id="17" xr3:uid="{49F63D95-22F4-4975-9971-BF2D1C458665}" name="1/23/2026" dataDxfId="1117"/>
    <tableColumn id="18" xr3:uid="{59CE0352-627A-410F-B64A-33816BECA136}" name="1/30/2026" dataDxfId="1116"/>
    <tableColumn id="19" xr3:uid="{659AB902-97D0-4693-97D4-380832646A92}" name="2/6/2026" dataDxfId="1115"/>
    <tableColumn id="20" xr3:uid="{55D1F6FD-05F3-432B-8A60-6A35EEDF1648}" name="2/13/2026" dataDxfId="1114"/>
    <tableColumn id="21" xr3:uid="{A7F49769-ACEC-4469-9433-A6D452A46DDC}" name="2/20/2026" dataDxfId="1113"/>
    <tableColumn id="22" xr3:uid="{E39A87FA-6CCD-4DEA-84D6-B5355143EC65}" name="2/27/2026" dataDxfId="1112"/>
    <tableColumn id="23" xr3:uid="{748F198B-6294-4012-B0F9-685AC2E5FDE4}" name="3/13/2026" dataDxfId="1111"/>
    <tableColumn id="24" xr3:uid="{3BF18D35-F482-42ED-B76A-C68BBBF01E8B}" name="3/20/2026" dataDxfId="1110"/>
    <tableColumn id="25" xr3:uid="{F99DA01E-A369-4A32-B76D-5676D1FB5C0B}" name="3/27/2026" dataDxfId="1109"/>
    <tableColumn id="26" xr3:uid="{9D9FC6A1-D423-46B7-9C6C-656ACD330AFA}" name="4/3/2026" dataDxfId="1108"/>
    <tableColumn id="27" xr3:uid="{A9103E2A-76A6-4462-B96F-35533FDB7E2C}" name="4/10/2026" dataDxfId="1107"/>
    <tableColumn id="28" xr3:uid="{D65543D6-5990-40F5-A7DD-B932B7983352}" name="4/17/2026" dataDxfId="1106"/>
    <tableColumn id="29" xr3:uid="{DC4C77C1-CFF1-41F6-8838-173506810456}" name="4/24/2026" dataDxfId="1105"/>
    <tableColumn id="30" xr3:uid="{1E2C72BA-FC4D-614E-83CF-883417ED56BC}" name="5/1/2026" dataDxfId="1104"/>
    <tableColumn id="31" xr3:uid="{94E0E125-E279-B448-8C08-FD4BCB54C936}" name="5/8/2026" dataDxfId="1103"/>
    <tableColumn id="32" xr3:uid="{B0AB78D5-A55C-9340-B10B-5309C6CC9CF7}" name="5/15/2026" dataDxfId="1102"/>
    <tableColumn id="33" xr3:uid="{50CED051-7CB1-AB41-9591-C46C1943EF0C}" name="5/22/2026" dataDxfId="1101"/>
    <tableColumn id="34" xr3:uid="{0D77B3A4-3B97-F54A-BB84-1186A359A68B}" name="05/29/2026" dataDxfId="1100"/>
    <tableColumn id="35" xr3:uid="{762A6EE6-367F-1A41-A469-E868F4C85920}" name="6/5/2026" dataDxfId="1099"/>
    <tableColumn id="36" xr3:uid="{846787ED-7323-CF45-9047-A15658839582}" name="6/12/2026" dataDxfId="1098"/>
    <tableColumn id="37" xr3:uid="{9D032CEB-004F-1248-90A1-34E7B3FE7F24}" name="6/19/2026" dataDxfId="1097"/>
    <tableColumn id="38" xr3:uid="{5F64B0F2-0D44-DA49-96E6-D36CDDBE5F32}" name="6/26/2026" dataDxfId="1096"/>
  </tableColumns>
  <tableStyleInfo name="TableStyleLight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9129484-4506-4982-A1BE-19C27BBB42A9}" name="Table168" displayName="Table168" ref="A74:AL75" totalsRowShown="0" headerRowDxfId="1095" dataDxfId="1094" tableBorderDxfId="1093">
  <autoFilter ref="A74:AL75" xr:uid="{63CF7AF0-AB99-4A18-9A12-F743EE842F1E}"/>
  <tableColumns count="38">
    <tableColumn id="1" xr3:uid="{47CD51F9-843F-4E1F-8A2E-4AFF57CCB8AE}" name="Placement" dataDxfId="1092"/>
    <tableColumn id="2" xr3:uid="{F5FA0011-8DD7-439A-A7AD-2BFDEB85DDE1}" name="10/13/2025" dataDxfId="1091"/>
    <tableColumn id="3" xr3:uid="{C486491A-42DD-43F8-8801-504405B96724}" name="10/17/2025" dataDxfId="1090"/>
    <tableColumn id="4" xr3:uid="{B1DEBB06-8C04-4E4A-8CBC-25C0BE35EF21}" name="10/24/2025" dataDxfId="1089"/>
    <tableColumn id="5" xr3:uid="{B5462985-3F58-42E5-903A-1C2FB7F59AB7}" name="10/31/2025" dataDxfId="1088"/>
    <tableColumn id="6" xr3:uid="{154039E0-C413-42A7-BA4C-C5780236C487}" name="11/7/2025" dataDxfId="1087"/>
    <tableColumn id="7" xr3:uid="{E1914779-D35C-4A5A-92D9-29A856A44CD6}" name="11/14/2025" dataDxfId="1086"/>
    <tableColumn id="8" xr3:uid="{6A5D87B8-3BD2-42C5-80AF-B8A7908C2522}" name="11/21/2025" dataDxfId="1085"/>
    <tableColumn id="9" xr3:uid="{9D8FB54F-AD79-4C92-B7E3-183F9FAD9F12}" name="11/28/2025" dataDxfId="1084"/>
    <tableColumn id="10" xr3:uid="{A694E342-7964-4912-84C1-7125AEA94DAF}" name="12/5/2025" dataDxfId="1083"/>
    <tableColumn id="11" xr3:uid="{C0BCA61F-BB39-43C8-92C9-DDE0095ABECB}" name="12/12/2025" dataDxfId="1082"/>
    <tableColumn id="12" xr3:uid="{436B57F7-E984-456F-9BC4-D4E7EC063E44}" name="12/19/2025" dataDxfId="1081"/>
    <tableColumn id="13" xr3:uid="{49E08F88-B0F9-4368-932B-BFA2CDF23E80}" name="12/26/2025" dataDxfId="1080"/>
    <tableColumn id="14" xr3:uid="{1C5D675E-2B34-42F2-AE76-0F2F6F6211ED}" name="1/2/2026" dataDxfId="1079"/>
    <tableColumn id="15" xr3:uid="{FA101F24-2E74-406D-AB29-69E1EFD8F378}" name="1/9/2026" dataDxfId="1078"/>
    <tableColumn id="16" xr3:uid="{9C69FA43-DA9B-48BC-9F4C-2F69D7796439}" name="1/16/2026" dataDxfId="1077"/>
    <tableColumn id="17" xr3:uid="{EA2DCAB2-DB38-4297-8454-4BC24FB6D445}" name="1/23/2026" dataDxfId="1076"/>
    <tableColumn id="19" xr3:uid="{297F6B75-49F7-4E6A-8CFB-17EBD79B4A05}" name="1/30/2026" dataDxfId="1075"/>
    <tableColumn id="18" xr3:uid="{7CDFBF11-BA29-473F-BDA3-7202DA10D995}" name="2/6/2026" dataDxfId="1074"/>
    <tableColumn id="20" xr3:uid="{0B379CF0-EC71-4554-952C-0E69E4CBDC29}" name="2/13/2026" dataDxfId="1073"/>
    <tableColumn id="21" xr3:uid="{DD0EE3CB-15D1-4F01-9250-66DCDA3D30DD}" name="2/20/2026" dataDxfId="1072"/>
    <tableColumn id="22" xr3:uid="{20ABEE9C-10DD-4389-8C0F-67D2B78339C7}" name="2/27/2026" dataDxfId="1071"/>
    <tableColumn id="23" xr3:uid="{DE5CFE3E-AC21-4EAE-BBBA-E25FDC887930}" name="3/13/2026" dataDxfId="1070"/>
    <tableColumn id="24" xr3:uid="{FECEE4D5-1740-4411-B8BF-034D06BE3D5B}" name="3/20/2026" dataDxfId="1069"/>
    <tableColumn id="25" xr3:uid="{A9AB0254-847D-4790-907F-BF74C48062EC}" name="3/27/2026" dataDxfId="1068"/>
    <tableColumn id="26" xr3:uid="{62496D2C-48FE-45A8-B99A-4EC842E70E35}" name="4/3/2026" dataDxfId="1067"/>
    <tableColumn id="27" xr3:uid="{029DA678-EE9F-4653-9BD0-32E4ABA465EF}" name="4/10/2026" dataDxfId="1066"/>
    <tableColumn id="28" xr3:uid="{F119BC43-03A3-42C9-B178-9B98A52DF336}" name="4/17/2026" dataDxfId="1065"/>
    <tableColumn id="29" xr3:uid="{78E185CF-D1D5-4B84-8647-A420E111C193}" name="4/24/2026" dataDxfId="1064"/>
    <tableColumn id="30" xr3:uid="{4F0BE511-C6A8-CF47-BEE9-93445A613AD5}" name="5/1/2026" dataDxfId="1063"/>
    <tableColumn id="31" xr3:uid="{798F9FAB-C662-184C-8E52-3A52C91301D7}" name="5/8/2026" dataDxfId="1062"/>
    <tableColumn id="32" xr3:uid="{67E4915C-E4D1-9F4F-AF2F-08E131DC8A5B}" name="5/15/2026" dataDxfId="1061"/>
    <tableColumn id="33" xr3:uid="{E300F441-9154-6B4C-9A8C-8D836E3E9CD4}" name="5/22/2026" dataDxfId="1060"/>
    <tableColumn id="34" xr3:uid="{1FBC187F-E2BF-9745-B841-CA0A89E379C8}" name="05/29/2026" dataDxfId="1059"/>
    <tableColumn id="35" xr3:uid="{4FD5D377-35B9-274B-A7F7-E26DD215189B}" name="6/5/2026" dataDxfId="1058"/>
    <tableColumn id="36" xr3:uid="{B27D2BEB-615A-4643-8F5F-9C07226DB45F}" name="6/12/2026" dataDxfId="1057"/>
    <tableColumn id="37" xr3:uid="{617BF149-DBB6-C445-B6BA-A1B03180CC06}" name="6/19/2026" dataDxfId="1056"/>
    <tableColumn id="38" xr3:uid="{FBE4F287-CF04-1C44-8523-37841CD1A587}" name="6/26/2026" dataDxfId="1055"/>
  </tableColumns>
  <tableStyleInfo name="TableStyleLight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1048051-8B0F-477B-8759-6406C31FE19C}" name="Table279" displayName="Table279" ref="A77:AL88" totalsRowShown="0" headerRowDxfId="1054" dataDxfId="1053" tableBorderDxfId="1052">
  <autoFilter ref="A77:AL88" xr:uid="{0438CA60-DD76-4136-BC18-AD22F5B6EB0C}"/>
  <tableColumns count="38">
    <tableColumn id="1" xr3:uid="{21C68B01-21E7-4E53-A6E2-6879A3469D3D}" name="Job Search Status" dataDxfId="1051"/>
    <tableColumn id="2" xr3:uid="{869F6814-BDEA-4AA3-AD5E-6A8005FF0D9A}" name="10/13/2025" dataDxfId="1050"/>
    <tableColumn id="3" xr3:uid="{10EA7E52-16EC-44C6-897A-71A95382C3CA}" name="10/17/2025" dataDxfId="1049"/>
    <tableColumn id="4" xr3:uid="{A83DC0DC-6C98-46D0-8335-D1F1657C41C5}" name="10/24/2025" dataDxfId="1048"/>
    <tableColumn id="5" xr3:uid="{B37AA235-1B78-4539-8703-97C8E2AA9648}" name="10/31/2025" dataDxfId="1047"/>
    <tableColumn id="6" xr3:uid="{35223495-50D3-4577-89DD-0008AAC686B3}" name="11/7/2025" dataDxfId="1046"/>
    <tableColumn id="7" xr3:uid="{0CE3B341-C8BF-453C-851E-813D4D2726A9}" name="11/14/2025" dataDxfId="1045"/>
    <tableColumn id="8" xr3:uid="{65118C82-C2A9-4FE9-8E9E-B7414B3E3909}" name="11/21/2025" dataDxfId="1044"/>
    <tableColumn id="9" xr3:uid="{8099B6CC-9DAD-4694-AFAA-A23A337FECC7}" name="11/28/2025" dataDxfId="1043"/>
    <tableColumn id="10" xr3:uid="{FAC07554-025C-4FB6-9F0D-C1F24FC6F497}" name="12/5/2025" dataDxfId="1042"/>
    <tableColumn id="11" xr3:uid="{0F696280-FDD2-4C33-A9AA-7D47C35AB5D3}" name="12/12/2025" dataDxfId="1041"/>
    <tableColumn id="12" xr3:uid="{5E068ED1-81C9-4E3B-9361-792296EBBFF0}" name="12/19/2025" dataDxfId="1040"/>
    <tableColumn id="13" xr3:uid="{72777519-8F9B-4DA6-BF89-F4ADC842F496}" name="12/26/2025" dataDxfId="1039"/>
    <tableColumn id="14" xr3:uid="{8CA1DAED-7DBD-4EAE-8ED6-73DAF4A39376}" name="1/2/2026" dataDxfId="1038"/>
    <tableColumn id="15" xr3:uid="{6322877A-9229-479B-9514-87BE390AC267}" name="1/9/2026" dataDxfId="1037"/>
    <tableColumn id="16" xr3:uid="{DBD43E95-AC81-4952-8FDC-DD56751EAF74}" name="1/16/2026" dataDxfId="1036"/>
    <tableColumn id="17" xr3:uid="{3206A361-352B-480F-AEDC-C0E2816B5617}" name="1/23/2026" dataDxfId="1035"/>
    <tableColumn id="18" xr3:uid="{225D8843-B403-46E3-B14D-97392454BC03}" name="1/30/2026" dataDxfId="1034"/>
    <tableColumn id="19" xr3:uid="{C28E9F9D-1C6F-4262-87C0-4A9D93EC2315}" name="2/6/2026" dataDxfId="1033"/>
    <tableColumn id="20" xr3:uid="{6EF1D0A9-5DFC-48AB-A663-FC9C27AFDC2F}" name="2/13/2026" dataDxfId="1032"/>
    <tableColumn id="21" xr3:uid="{46F5E8CF-B5B1-4E14-B568-60343226A3B1}" name="2/20/2026" dataDxfId="1031"/>
    <tableColumn id="22" xr3:uid="{45AD2DF3-340B-4585-A4B3-E5B391E0BAF2}" name="2/27/2026" dataDxfId="1030"/>
    <tableColumn id="23" xr3:uid="{D198433B-04D6-48B7-B511-AE30AD96CD28}" name="3/13/2026" dataDxfId="1029"/>
    <tableColumn id="24" xr3:uid="{24C3F41D-3A04-4063-8417-EDF6053FA883}" name="3/20/2026" dataDxfId="1028"/>
    <tableColumn id="25" xr3:uid="{EEF0FA01-0791-4088-88D1-38CA5A90F642}" name="3/27/2026" dataDxfId="1027"/>
    <tableColumn id="26" xr3:uid="{FD184FDB-EB61-4F96-882D-92837CBB5939}" name="4/3/2026" dataDxfId="1026"/>
    <tableColumn id="27" xr3:uid="{0646A330-C171-43B2-8D53-D49026994FF4}" name="4/10/2026" dataDxfId="1025"/>
    <tableColumn id="28" xr3:uid="{5B4F1B94-5ED2-4DED-86A9-ECAD74296D56}" name="4/17/2026" dataDxfId="1024"/>
    <tableColumn id="29" xr3:uid="{E96FBEA6-7638-4EEE-B52B-3F2400AC39F5}" name="4/24/2026" dataDxfId="1023"/>
    <tableColumn id="30" xr3:uid="{A63105BD-8712-FE4A-A651-4DB57CECF1DB}" name="5/1/2026" dataDxfId="1022"/>
    <tableColumn id="31" xr3:uid="{0DC274F4-7837-6A4B-B3EF-22760931F2DE}" name="5/8/2026" dataDxfId="1021"/>
    <tableColumn id="32" xr3:uid="{A378A418-9B79-4D47-8086-FCFAF5A0C59F}" name="5/15/2026" dataDxfId="1020"/>
    <tableColumn id="33" xr3:uid="{614C1CFE-E7B3-0C41-BEAD-1CCA93B32F03}" name="5/22/2026" dataDxfId="1019"/>
    <tableColumn id="34" xr3:uid="{B62621F8-4071-5442-86B6-C02153C4087E}" name="05/29/2026" dataDxfId="1018"/>
    <tableColumn id="35" xr3:uid="{9CCDB03C-2F72-A648-9AA5-E43C362DFDA6}" name="6/5/2026" dataDxfId="1017"/>
    <tableColumn id="36" xr3:uid="{9452594A-A0E5-8140-BBE0-12ABC21FF660}" name="6/12/2026" dataDxfId="1016"/>
    <tableColumn id="37" xr3:uid="{BEF2B0B1-CB78-9744-B5D3-746CEA1D8495}" name="6/19/2026" dataDxfId="1015"/>
    <tableColumn id="38" xr3:uid="{EE07A041-D953-BC4F-B179-D2BB89E471E2}" name="6/26/2026" dataDxfId="1014"/>
  </tableColumns>
  <tableStyleInfo name="TableStyleLight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D600EE5-A091-48AD-9D20-6602B0D9A9E4}" name="Table110" displayName="Table110" ref="A91:AL92" totalsRowShown="0" headerRowDxfId="1013" dataDxfId="1012" tableBorderDxfId="1011">
  <autoFilter ref="A91:AL92" xr:uid="{63CF7AF0-AB99-4A18-9A12-F743EE842F1E}"/>
  <tableColumns count="38">
    <tableColumn id="1" xr3:uid="{148CA45C-EAAF-4AFC-965F-899EF9197300}" name="Placement" dataDxfId="1010"/>
    <tableColumn id="2" xr3:uid="{ADA72690-CEDC-4D60-97A0-7464AA1A9CE2}" name="10/13/2025" dataDxfId="1009"/>
    <tableColumn id="3" xr3:uid="{5C0A55A6-4083-462F-99C8-7C00FA490188}" name="10/17/2025" dataDxfId="1008"/>
    <tableColumn id="4" xr3:uid="{23AEBC9D-E914-4739-87C8-C6E02C48213A}" name="10/24/2025" dataDxfId="1007"/>
    <tableColumn id="5" xr3:uid="{9A63CDAB-88B9-438B-8D1E-EDC6D31164B6}" name="10/31/2025" dataDxfId="1006"/>
    <tableColumn id="6" xr3:uid="{4281905C-C7A6-4BE7-90C2-89B501F0DD8F}" name="11/7/2025" dataDxfId="1005"/>
    <tableColumn id="7" xr3:uid="{22E9AFB5-B2C6-49DB-B0F2-EBCA040F1E01}" name="11/14/2025" dataDxfId="1004"/>
    <tableColumn id="8" xr3:uid="{2CBAC6A4-DDB5-4738-8A71-F006A58CA700}" name="11/21/2025" dataDxfId="1003"/>
    <tableColumn id="9" xr3:uid="{CB41F1B9-716C-43C5-87A2-9278AC044C3C}" name="11/28/2025" dataDxfId="1002"/>
    <tableColumn id="10" xr3:uid="{689A72CF-D6E1-4E95-AE38-A5758DABE05E}" name="12/5/2025" dataDxfId="1001"/>
    <tableColumn id="11" xr3:uid="{C814CBA9-F629-4090-867E-3018227EC018}" name="12/12/2025" dataDxfId="1000"/>
    <tableColumn id="12" xr3:uid="{EB09972A-3839-44A0-81C1-D70903F40118}" name="12/19/2025" dataDxfId="999"/>
    <tableColumn id="13" xr3:uid="{F8C5CCD1-E624-44DF-A905-5282E4324674}" name="12/26/2025" dataDxfId="998"/>
    <tableColumn id="14" xr3:uid="{1D0BEB76-F94E-4ECB-951B-86F0EA53D000}" name="1/2/2026" dataDxfId="997"/>
    <tableColumn id="15" xr3:uid="{98DA2324-ED0C-41C0-8A79-2FBE298C62E6}" name="1/9/2026" dataDxfId="996"/>
    <tableColumn id="16" xr3:uid="{3BC2D4B2-CE4C-4AE2-992E-73F9AD29BD1F}" name="1/16/2026" dataDxfId="995"/>
    <tableColumn id="17" xr3:uid="{EA0037E0-A00F-48FB-81CD-8C83D706C569}" name="1/23/2026" dataDxfId="994"/>
    <tableColumn id="18" xr3:uid="{69CD6FA5-FB2C-45B2-9C78-8911E1047D6E}" name="1/30/2026" dataDxfId="993"/>
    <tableColumn id="19" xr3:uid="{FB201AD2-49EE-4283-BAC0-F4F06BB25917}" name="2/6/2026" dataDxfId="992"/>
    <tableColumn id="20" xr3:uid="{0117CD71-F223-456E-A507-E593945DB698}" name="2/13/2026" dataDxfId="991"/>
    <tableColumn id="21" xr3:uid="{910828B5-0729-41C4-99EF-16B98DE770B1}" name="2/20/2026" dataDxfId="990"/>
    <tableColumn id="22" xr3:uid="{236170EE-97E3-4D20-9664-05A63F768339}" name="2/27/2026" dataDxfId="989"/>
    <tableColumn id="23" xr3:uid="{D3628FD0-D938-4943-93D3-2F3F02128D4F}" name="3/13/2026" dataDxfId="988"/>
    <tableColumn id="24" xr3:uid="{9C79C284-BE60-4B22-BD55-7AF055A6F814}" name="3/20/2026" dataDxfId="987"/>
    <tableColumn id="25" xr3:uid="{54DF7ED4-5D09-4F37-98C2-AF3E46622B1E}" name="3/27/2026" dataDxfId="986"/>
    <tableColumn id="26" xr3:uid="{25FF05FE-EB35-4D41-8C60-6D5293A4B20A}" name="4/3/2026" dataDxfId="985"/>
    <tableColumn id="27" xr3:uid="{F990578B-7451-4E36-A745-67FA35733C68}" name="4/10/2026" dataDxfId="984"/>
    <tableColumn id="28" xr3:uid="{2497443A-9304-4235-AC3B-8A4640EC30F4}" name="4/17/2026" dataDxfId="983"/>
    <tableColumn id="29" xr3:uid="{82B04C4D-0876-487F-B028-77469C0ECCEE}" name="4/24/2026" dataDxfId="982"/>
    <tableColumn id="30" xr3:uid="{90B7D0EC-A459-3542-9F78-FC510FA9AE6A}" name="5/1/2026" dataDxfId="981"/>
    <tableColumn id="31" xr3:uid="{C30B9791-6C78-234A-8791-507A592243BC}" name="5/8/2026" dataDxfId="980"/>
    <tableColumn id="32" xr3:uid="{2AA84D25-4A9F-B24A-A091-2C582E2B7986}" name="5/15/2026" dataDxfId="979"/>
    <tableColumn id="33" xr3:uid="{E015954E-CA61-0A4B-99EF-392AB72B1709}" name="5/22/2026" dataDxfId="978"/>
    <tableColumn id="34" xr3:uid="{2FF88289-74FA-EA4D-A293-21C0D3B31DF9}" name="05/29/2026" dataDxfId="977"/>
    <tableColumn id="35" xr3:uid="{9DD9CFAB-B131-CB42-90BE-BBB85875B168}" name="6/5/2026" dataDxfId="976"/>
    <tableColumn id="36" xr3:uid="{7578A6B7-2BF9-9449-B45E-AE2718046061}" name="6/12/2026" dataDxfId="975"/>
    <tableColumn id="37" xr3:uid="{B852205A-D7F8-604B-A2DA-E0AF75809485}" name="6/19/2026" dataDxfId="974"/>
    <tableColumn id="38" xr3:uid="{F937FE90-7DF2-F445-864A-E19B0BB65531}" name="6/26/2026" dataDxfId="973"/>
  </tableColumns>
  <tableStyleInfo name="TableStyleLight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EA79D42-1B16-4B52-82BD-6523F8508ECB}" name="Table211" displayName="Table211" ref="A94:AL105" totalsRowShown="0" headerRowDxfId="972" dataDxfId="971" tableBorderDxfId="970">
  <autoFilter ref="A94:AL105" xr:uid="{0438CA60-DD76-4136-BC18-AD22F5B6EB0C}"/>
  <tableColumns count="38">
    <tableColumn id="1" xr3:uid="{CF4009C9-7156-45E8-827A-896F15EAC3F7}" name="Job Search Status" dataDxfId="969"/>
    <tableColumn id="2" xr3:uid="{62A3B8FF-1430-4614-8F6E-D8460BCB2426}" name="10/13/2025" dataDxfId="968"/>
    <tableColumn id="3" xr3:uid="{18A882A3-CCD5-4ADC-B311-2F425EAA694C}" name="10/17/2025" dataDxfId="967"/>
    <tableColumn id="4" xr3:uid="{77BC2824-E143-49C8-A217-E6CFA4757629}" name="10/24/2025" dataDxfId="966"/>
    <tableColumn id="5" xr3:uid="{0832AC84-28F5-4B92-B941-C553F31A5036}" name="10/31/2025" dataDxfId="965"/>
    <tableColumn id="6" xr3:uid="{96221B85-8D17-4F28-923B-52A841A7F661}" name="11/7/2025" dataDxfId="964"/>
    <tableColumn id="7" xr3:uid="{251B2221-390D-4EBD-98D1-B3763ED0C476}" name="11/14/2025" dataDxfId="963"/>
    <tableColumn id="8" xr3:uid="{DC20414D-B6F7-4A58-9B07-E4E08BF05879}" name="11/21/2025" dataDxfId="962"/>
    <tableColumn id="9" xr3:uid="{FCCFC7BB-1F9A-401F-BC21-FAEFEE07C1D0}" name="11/28/2025" dataDxfId="961"/>
    <tableColumn id="10" xr3:uid="{C8F6BDEB-6104-49EA-850F-618EA1848A35}" name="12/5/2025" dataDxfId="960"/>
    <tableColumn id="11" xr3:uid="{95DAFB01-3EA8-4865-A108-AA2CF26E4089}" name="12/12/2025" dataDxfId="959"/>
    <tableColumn id="12" xr3:uid="{3FE3A93C-1D01-4C0B-9B9C-1A480E4F8B27}" name="12/19/2025" dataDxfId="958"/>
    <tableColumn id="13" xr3:uid="{D47A588D-4770-4EB8-AAA4-FE16491762E9}" name="12/26/2025" dataDxfId="957"/>
    <tableColumn id="14" xr3:uid="{1BF27B21-6200-41EA-B535-0BC5CAAE671D}" name="1/2/2026" dataDxfId="956"/>
    <tableColumn id="15" xr3:uid="{588A46BC-CC99-40FC-A956-5DD734B241C0}" name="1/9/2026" dataDxfId="955"/>
    <tableColumn id="16" xr3:uid="{2F0F694C-7FA0-4C2F-9118-C2E7B0681354}" name="1/16/2026" dataDxfId="954"/>
    <tableColumn id="17" xr3:uid="{63A73D72-9882-46D8-93F7-B1896185A2F3}" name="1/23/2026" dataDxfId="953"/>
    <tableColumn id="18" xr3:uid="{FA0AF5AD-C6AC-47E9-B408-2AF6DD2D83C8}" name="1/30/2026" dataDxfId="952"/>
    <tableColumn id="19" xr3:uid="{D1D96ACC-8CFC-40AC-8207-B51FE8BAD659}" name="2/6/2026" dataDxfId="951"/>
    <tableColumn id="20" xr3:uid="{99DC8A64-E7EA-4D09-AF5E-92F92DE57B1E}" name="2/13/2026" dataDxfId="950"/>
    <tableColumn id="21" xr3:uid="{61CCD0EF-5D7F-49C0-BF3B-959365753904}" name="2/20/2026" dataDxfId="949"/>
    <tableColumn id="22" xr3:uid="{54057159-539E-4784-A860-A0698F9B82B4}" name="2/27/2026" dataDxfId="948"/>
    <tableColumn id="23" xr3:uid="{DAC05C5C-95D0-4BD3-9780-DED816A5259D}" name="3/13/2026" dataDxfId="947"/>
    <tableColumn id="24" xr3:uid="{07435949-8B80-4979-B0AC-D5EE47E263ED}" name="3/20/2026" dataDxfId="946"/>
    <tableColumn id="25" xr3:uid="{21CB40B9-E371-468A-9510-537EC3271248}" name="3/27/2026" dataDxfId="945"/>
    <tableColumn id="26" xr3:uid="{98E1B569-68EB-4A9C-88BB-2BD048DAA4C8}" name="4/3/2026" dataDxfId="944"/>
    <tableColumn id="27" xr3:uid="{ED80E138-B448-4300-857A-A66D39EBC366}" name="4/10/2026" dataDxfId="943"/>
    <tableColumn id="28" xr3:uid="{D6364C25-289A-47F5-94BD-CBD354A20BC2}" name="4/17/2026" dataDxfId="942"/>
    <tableColumn id="29" xr3:uid="{09189F23-9160-4032-90EF-DCD5BB3F5927}" name="4/24/2026" dataDxfId="941"/>
    <tableColumn id="30" xr3:uid="{B6A27FA0-4988-EF46-8F54-27D2DA3AFCA7}" name="5/1/2026" dataDxfId="940"/>
    <tableColumn id="32" xr3:uid="{7A3E56C2-3CEC-0B47-BA11-9B41F06D26A8}" name="5/8/2026" dataDxfId="939"/>
    <tableColumn id="31" xr3:uid="{0A802242-7702-214D-AD37-2C3BD72F71E9}" name="5/15/2026" dataDxfId="938"/>
    <tableColumn id="33" xr3:uid="{381DED2B-3CEF-6F42-A7F8-5961A4879114}" name="5/22/2026" dataDxfId="937"/>
    <tableColumn id="34" xr3:uid="{CA8767FF-11AA-4148-B984-23A4CBABC713}" name="05/29/2026" dataDxfId="936"/>
    <tableColumn id="35" xr3:uid="{C09621BA-8C54-E948-9E57-C4783F1CC7D8}" name="6/5/2026" dataDxfId="935"/>
    <tableColumn id="36" xr3:uid="{CF239039-B940-F941-824E-8B5A179187CB}" name="6/12/2026" dataDxfId="934"/>
    <tableColumn id="37" xr3:uid="{86DAA9AE-77E5-0444-83E2-5E1E0BE2EA55}" name="6/19/2026" dataDxfId="933"/>
    <tableColumn id="38" xr3:uid="{E9CCCB36-B335-B440-AD5B-B097524AE949}" name="6/26/2026" dataDxfId="932"/>
  </tableColumns>
  <tableStyleInfo name="TableStyleLight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A7C5D47-CB82-421E-8D81-6AE2261A1172}" name="Table11012" displayName="Table11012" ref="A108:AL109" totalsRowShown="0" headerRowDxfId="931" dataDxfId="930" tableBorderDxfId="929">
  <autoFilter ref="A108:AL109" xr:uid="{63CF7AF0-AB99-4A18-9A12-F743EE842F1E}"/>
  <tableColumns count="38">
    <tableColumn id="1" xr3:uid="{77AFA375-1F8A-42C6-BCBA-E07BF49A9F9C}" name="Placement" dataDxfId="928"/>
    <tableColumn id="2" xr3:uid="{9AA7CBA7-4C85-4D8A-9049-223F15CA495D}" name="10/13/2025" dataDxfId="927"/>
    <tableColumn id="3" xr3:uid="{5513A63D-240C-4609-8419-820BE08F7DE0}" name="10/17/2025" dataDxfId="926"/>
    <tableColumn id="4" xr3:uid="{3CA5804E-495B-4306-9756-822775C03CB5}" name="10/24/2025" dataDxfId="925"/>
    <tableColumn id="5" xr3:uid="{C02E19A0-7581-43A0-BF94-002F442713B4}" name="10/31/2025" dataDxfId="924"/>
    <tableColumn id="6" xr3:uid="{AC97D5A1-C72B-4AE4-A846-8096C85F5CD5}" name="11/7/2025" dataDxfId="923"/>
    <tableColumn id="7" xr3:uid="{A46931F7-38EB-4551-9284-D3199BF4DA79}" name="11/14/2025" dataDxfId="922"/>
    <tableColumn id="8" xr3:uid="{D9271A94-61E2-4E45-99E4-86A015658EBA}" name="11/21/2025" dataDxfId="921"/>
    <tableColumn id="9" xr3:uid="{7AB7599A-82DB-442A-B198-56087966EB42}" name="11/28/2025" dataDxfId="920"/>
    <tableColumn id="10" xr3:uid="{B57AA070-5CC2-4595-9031-AA58540E8B17}" name="12/5/2025" dataDxfId="919"/>
    <tableColumn id="11" xr3:uid="{EC86E829-6E1A-4839-8097-24D9C9832333}" name="12/12/2025" dataDxfId="918"/>
    <tableColumn id="12" xr3:uid="{19FA1563-D35A-405C-8A40-A0FE1539E6D3}" name="12/19/2025" dataDxfId="917"/>
    <tableColumn id="13" xr3:uid="{192203A1-A112-4363-A5E6-B5E434B0A367}" name="12/26/2025" dataDxfId="916"/>
    <tableColumn id="14" xr3:uid="{888080AE-CE3F-4AC5-8CE9-408A8D3D6122}" name="1/2/2026" dataDxfId="915"/>
    <tableColumn id="15" xr3:uid="{B25B2265-7EE4-4A34-B898-AD841A5EC1A1}" name="1/9/2026" dataDxfId="914"/>
    <tableColumn id="16" xr3:uid="{9EDD6808-ECAE-4F4E-8AAB-25C55C32A1D1}" name="1/16/2026" dataDxfId="913"/>
    <tableColumn id="17" xr3:uid="{D889C9B4-2105-41D2-89D4-0F8C37E38F40}" name="1/23/2026" dataDxfId="912"/>
    <tableColumn id="18" xr3:uid="{5DFCC226-53E7-459C-AA41-43A68533D875}" name="1/30/2026" dataDxfId="911"/>
    <tableColumn id="19" xr3:uid="{299F718E-7534-421A-A0C8-03AD208848DF}" name="2/6/2026" dataDxfId="910"/>
    <tableColumn id="20" xr3:uid="{8C85135F-E02A-4E65-8A21-EE48C3363EEB}" name="2/13/2026" dataDxfId="909"/>
    <tableColumn id="21" xr3:uid="{73F0F0B5-1F71-438F-AD20-07E35014CC4C}" name="2/20/2026" dataDxfId="908"/>
    <tableColumn id="22" xr3:uid="{C75AEF39-660B-4F13-8681-45B6FFDED314}" name="2/27/2026" dataDxfId="907"/>
    <tableColumn id="23" xr3:uid="{2082F7AD-AE54-41B2-B662-4878CD801B80}" name="3/13/2026" dataDxfId="906"/>
    <tableColumn id="24" xr3:uid="{7EC2D2E1-51FA-46A7-8672-6465E78232AC}" name="3/20/2026" dataDxfId="905"/>
    <tableColumn id="25" xr3:uid="{84037C05-F685-4AD7-9BFE-DA95D961F3C8}" name="3/27/2026" dataDxfId="904"/>
    <tableColumn id="26" xr3:uid="{45E60C52-FB05-44F3-980B-845B391779C2}" name="4/3/2026" dataDxfId="903"/>
    <tableColumn id="27" xr3:uid="{ED980A42-720B-4F91-94A6-B0FD8EA2E4DA}" name="4/10/2026" dataDxfId="902"/>
    <tableColumn id="28" xr3:uid="{0D8CD526-7AB1-4476-90DF-0C43B4B7F86B}" name="4/17/2026" dataDxfId="901"/>
    <tableColumn id="29" xr3:uid="{271A5A42-035A-48F2-A14C-88BCAE73AE30}" name="4/24/2026" dataDxfId="900"/>
    <tableColumn id="30" xr3:uid="{0551B1BA-1D57-7E4F-BC2B-79DE7FE4E328}" name="5/1/2026" dataDxfId="899"/>
    <tableColumn id="31" xr3:uid="{9D5C9E0C-A0EF-9742-B9C8-520D9B6AB9D3}" name="5/8/2026" dataDxfId="898"/>
    <tableColumn id="32" xr3:uid="{F0222AE5-ADB6-5E4B-B506-8AAFFF3F12C0}" name="5/15/2026" dataDxfId="897"/>
    <tableColumn id="33" xr3:uid="{70C1FF93-8503-5847-904C-B0CB8393190A}" name="5/22/2026" dataDxfId="896"/>
    <tableColumn id="34" xr3:uid="{D78A6F5E-7275-BB49-9ECB-EBB1C1D54BD9}" name="05/29/2026" dataDxfId="895"/>
    <tableColumn id="35" xr3:uid="{E0A0A253-2AE9-7B4B-8D12-DF078F102338}" name="6/5/2026" dataDxfId="894"/>
    <tableColumn id="36" xr3:uid="{0CCFA6FB-14AE-3B41-959A-6B1F85D4D4C0}" name="6/12/2026" dataDxfId="893"/>
    <tableColumn id="37" xr3:uid="{4AC1FE1F-CF2A-DF4A-8C97-E9487A8E729A}" name="6/19/2026" dataDxfId="892"/>
    <tableColumn id="38" xr3:uid="{07F90EB8-35A1-774C-B436-C823BDD5686F}" name="6/26/2026" dataDxfId="891"/>
  </tableColumns>
  <tableStyleInfo name="TableStyleLight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4A358D2-AB2D-4B7D-AAAF-5762DE8C3AF8}" name="Table21113" displayName="Table21113" ref="A111:AL122" totalsRowShown="0" headerRowDxfId="890" dataDxfId="889" tableBorderDxfId="888">
  <autoFilter ref="A111:AL122" xr:uid="{0438CA60-DD76-4136-BC18-AD22F5B6EB0C}"/>
  <tableColumns count="38">
    <tableColumn id="1" xr3:uid="{ACA101E1-889A-4EFB-8BFE-9B5E05A94FD9}" name="Job Search Status" dataDxfId="887"/>
    <tableColumn id="2" xr3:uid="{D93F3CF7-DFD9-4FB3-B70C-2D63B4EED3CD}" name="10/13/2025" dataDxfId="886"/>
    <tableColumn id="3" xr3:uid="{A5F3917D-5C7F-4348-BFB7-C62998D23001}" name="10/17/2025" dataDxfId="885"/>
    <tableColumn id="4" xr3:uid="{00E0DF93-1326-4245-ADAA-701400285403}" name="10/24/2025" dataDxfId="884"/>
    <tableColumn id="5" xr3:uid="{EA4BC98D-9BD1-4D8E-ACAA-9B367E4662D7}" name="10/31/2025" dataDxfId="883"/>
    <tableColumn id="6" xr3:uid="{165238C4-55F4-40C3-8EE9-3D6DF6E873DB}" name="11/7/2025" dataDxfId="882"/>
    <tableColumn id="7" xr3:uid="{89F4AA64-2EF1-46DF-8088-D31BE21639A5}" name="11/14/2025" dataDxfId="881"/>
    <tableColumn id="8" xr3:uid="{3D4581AB-53C0-47A2-8BCA-0E6CAA9B6BD9}" name="11/21/2025" dataDxfId="880"/>
    <tableColumn id="9" xr3:uid="{4648BC83-ACF0-4490-94E0-336F01492A70}" name="11/28/2025" dataDxfId="879"/>
    <tableColumn id="10" xr3:uid="{8C6984FD-69DA-4D68-A51B-5DBCABFC9F26}" name="12/5/2025" dataDxfId="878"/>
    <tableColumn id="11" xr3:uid="{A66B62F1-E856-443C-88C2-F523056DFDB3}" name="12/12/2025" dataDxfId="877"/>
    <tableColumn id="12" xr3:uid="{5EB0C8BA-49E8-4E85-88C4-BB904ABF5D2F}" name="12/19/2025" dataDxfId="876"/>
    <tableColumn id="13" xr3:uid="{97E6DF86-9554-41D8-9EED-8A2EC6D3ED87}" name="12/26/2025" dataDxfId="875"/>
    <tableColumn id="14" xr3:uid="{7CDAA63B-EE31-4804-9358-75EFD82FC0B4}" name="1/2/2026" dataDxfId="874"/>
    <tableColumn id="15" xr3:uid="{82C3DC0F-8659-46D3-B353-41412D270DC5}" name="1/9/2026" dataDxfId="873"/>
    <tableColumn id="16" xr3:uid="{DDF52277-3BA1-4B87-AA9A-A02477816A39}" name="1/16/2026" dataDxfId="872"/>
    <tableColumn id="17" xr3:uid="{0F09DF90-1E24-4F9C-AA93-FD2F95696A4F}" name="1/23/2026" dataDxfId="871"/>
    <tableColumn id="18" xr3:uid="{129CA8DE-ED49-4716-BECB-D51B053BCFE5}" name="1/30/2026" dataDxfId="870"/>
    <tableColumn id="19" xr3:uid="{AFB40142-A359-4D59-BE01-B33BDA53E279}" name="2/6/2026" dataDxfId="869"/>
    <tableColumn id="20" xr3:uid="{F63CA42B-F858-4485-9928-33885752558B}" name="2/13/2026" dataDxfId="868"/>
    <tableColumn id="21" xr3:uid="{1002CBE0-0644-41EF-8FFD-17099A597474}" name="2/20/2026" dataDxfId="867"/>
    <tableColumn id="22" xr3:uid="{A2E3BB90-ED02-4FD7-A707-7A415852E04F}" name="2/27/2026" dataDxfId="866"/>
    <tableColumn id="23" xr3:uid="{C118A138-2C64-40D5-B209-4628922ABEBD}" name="3/13/2026" dataDxfId="865"/>
    <tableColumn id="24" xr3:uid="{A4416636-620E-4927-BB39-A593DC4330B0}" name="3/20/2026" dataDxfId="864"/>
    <tableColumn id="25" xr3:uid="{8F319FA5-88C6-4FE1-BB1D-8EFBC6F4B848}" name="3/27/2026" dataDxfId="863"/>
    <tableColumn id="26" xr3:uid="{4E8D041F-8CC1-4167-9CE1-7D7AA32F82F9}" name="4/3/2026" dataDxfId="862"/>
    <tableColumn id="27" xr3:uid="{A88B79C0-4B47-4461-B0E6-412DEB654B61}" name="4/10/2026" dataDxfId="861"/>
    <tableColumn id="28" xr3:uid="{CC652B06-4F6F-443E-9471-BE4CB729500C}" name="4/17/2026" dataDxfId="860"/>
    <tableColumn id="29" xr3:uid="{6AD31D00-1ACE-435F-AB2C-CB8E0A154DC4}" name="4/24/2026" dataDxfId="859"/>
    <tableColumn id="30" xr3:uid="{347DAC6A-EF10-764D-A32F-F8621F618A33}" name="5/1/2026" dataDxfId="858"/>
    <tableColumn id="31" xr3:uid="{C0B3C2B1-6380-AA47-B6F5-B33397656E67}" name="5/8/2026" dataDxfId="857"/>
    <tableColumn id="32" xr3:uid="{3DB411D1-0285-4E45-A153-643BCB47B14E}" name="5/15/2026" dataDxfId="856"/>
    <tableColumn id="33" xr3:uid="{2F9B77AD-DA1B-B54D-88CA-5FA8AA114B09}" name="5/22/2026" dataDxfId="855"/>
    <tableColumn id="34" xr3:uid="{866BE4EF-61B2-F946-B71C-F9F48BD5AFFA}" name="05/29/2026" dataDxfId="854"/>
    <tableColumn id="35" xr3:uid="{38008628-986F-3A4F-8277-A7B82BEED967}" name="6/5/2026" dataDxfId="853"/>
    <tableColumn id="36" xr3:uid="{A8CA513F-3C7F-2446-9337-DBD2CE6F6118}" name="6/12/2026" dataDxfId="852"/>
    <tableColumn id="37" xr3:uid="{085CE6E3-610F-1E4F-96A2-4710CECA8FE1}" name="6/19/2026" dataDxfId="851"/>
    <tableColumn id="38" xr3:uid="{D6AFC20C-7B10-E941-A37E-7CEF5808F245}" name="6/26/2026" dataDxfId="850"/>
  </tableColumns>
  <tableStyleInfo name="TableStyleLight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FE9BE2E7-7668-46AF-A82B-1AD5D599323F}" name="Table1101216" displayName="Table1101216" ref="A125:AL126" totalsRowShown="0" headerRowDxfId="849" dataDxfId="848" tableBorderDxfId="847">
  <autoFilter ref="A125:AL126" xr:uid="{63CF7AF0-AB99-4A18-9A12-F743EE842F1E}"/>
  <tableColumns count="38">
    <tableColumn id="1" xr3:uid="{C533ECE0-5BA7-4029-95F1-418F9CD87073}" name="Placement" dataDxfId="846"/>
    <tableColumn id="2" xr3:uid="{354F8B2A-075E-48BB-B547-6B338DA6E043}" name="10/13/2025" dataDxfId="845"/>
    <tableColumn id="3" xr3:uid="{9C2B1E56-7EA7-4453-B4FF-85B3293ABBA4}" name="10/17/2025" dataDxfId="844"/>
    <tableColumn id="4" xr3:uid="{071CB29C-36A2-4196-A3B2-BC71FCA105E7}" name="10/24/2025" dataDxfId="843"/>
    <tableColumn id="5" xr3:uid="{D3D236AD-FC1D-4959-8459-A8F9D890B059}" name="10/31/2025" dataDxfId="842"/>
    <tableColumn id="6" xr3:uid="{0C418DE9-226A-4462-98E9-4D6373815D3B}" name="11/7/2025" dataDxfId="841"/>
    <tableColumn id="7" xr3:uid="{BE099B80-02FD-48F6-9DB0-833AE36FD238}" name="11/14/2025" dataDxfId="840"/>
    <tableColumn id="8" xr3:uid="{78A363D1-EDC0-43D4-91B7-BF0386F94A1F}" name="11/21/2025" dataDxfId="839"/>
    <tableColumn id="9" xr3:uid="{C9A9C3E2-41A4-4A64-8740-E12003989210}" name="11/28/2025" dataDxfId="838"/>
    <tableColumn id="10" xr3:uid="{0922E9C8-84FA-425F-B692-56792383BF74}" name="12/5/2025" dataDxfId="837"/>
    <tableColumn id="11" xr3:uid="{4263E0E8-B776-408A-8E53-8A5FCF469980}" name="12/12/2025" dataDxfId="836"/>
    <tableColumn id="12" xr3:uid="{1B39CB3E-4C45-4DBD-86AC-6923F494E6E0}" name="12/19/2025" dataDxfId="835"/>
    <tableColumn id="13" xr3:uid="{11749FCF-1A53-43CB-8E72-2DB15F4A3EAA}" name="12/26/2025" dataDxfId="834"/>
    <tableColumn id="14" xr3:uid="{AF10ECC4-0F32-457E-A4FF-AD8EA28518DC}" name="1/2/2026" dataDxfId="833"/>
    <tableColumn id="15" xr3:uid="{23AF89FB-3578-4C24-A60D-183DAD2AC5F0}" name="1/9/2026" dataDxfId="832"/>
    <tableColumn id="16" xr3:uid="{6BAC3882-8862-43C1-9444-924A47E616E1}" name="1/16/2026" dataDxfId="831"/>
    <tableColumn id="17" xr3:uid="{D2FF0CE7-19D2-4BF6-8998-33C98A883C99}" name="1/23/2026" dataDxfId="830"/>
    <tableColumn id="18" xr3:uid="{32FDB5E0-BCBF-49CE-9CE0-E970C332B527}" name="1/30/2026" dataDxfId="829"/>
    <tableColumn id="19" xr3:uid="{CDF66057-DA66-48EA-A89E-9C591CAA3743}" name="2/6/2026" dataDxfId="828"/>
    <tableColumn id="20" xr3:uid="{ADEA3F3D-0050-404F-BAF5-F8703F2F6544}" name="2/13/2026" dataDxfId="827"/>
    <tableColumn id="21" xr3:uid="{F531FDBC-F48F-44BF-9906-CE827F0FA6B5}" name="2/20/2026" dataDxfId="826"/>
    <tableColumn id="22" xr3:uid="{993CFBC3-C6C1-4FD3-953C-20C776138473}" name="2/27/2026" dataDxfId="825"/>
    <tableColumn id="23" xr3:uid="{3047C609-4850-4DDD-8B36-197E96680FBF}" name="3/13/2026" dataDxfId="824"/>
    <tableColumn id="24" xr3:uid="{E121CEEB-CEC2-4642-B2B3-0A067EAEDB5E}" name="3/20/2026" dataDxfId="823"/>
    <tableColumn id="25" xr3:uid="{78597F6E-5680-4ACA-B024-D94F1A05DE3C}" name="3/27/2026" dataDxfId="822"/>
    <tableColumn id="26" xr3:uid="{66EFD9C8-FDFA-4C9D-AB19-DD3C09E6BED9}" name="4/3/2026" dataDxfId="821"/>
    <tableColumn id="27" xr3:uid="{3DA77EAF-993F-41D0-A246-8F1F009F9B26}" name="4/10/2026" dataDxfId="820"/>
    <tableColumn id="28" xr3:uid="{D8161E69-E97E-4E1F-9451-7F7FD59FDB67}" name="4/17/2026" dataDxfId="819"/>
    <tableColumn id="29" xr3:uid="{4F24E182-1E11-4D91-844D-DFF59C965155}" name="4/24/2026" dataDxfId="818"/>
    <tableColumn id="30" xr3:uid="{063CDB06-8FB4-3A40-8392-6D0D839D4282}" name="5/1/2026" dataDxfId="817"/>
    <tableColumn id="31" xr3:uid="{1C587EC3-135F-0646-A605-B5DD4331AEC6}" name="5/8/2026" dataDxfId="816"/>
    <tableColumn id="32" xr3:uid="{5D484416-C7E5-9047-BD11-1E98C3A6515C}" name="5/15/2026" dataDxfId="815"/>
    <tableColumn id="33" xr3:uid="{4711D4C0-3FFC-924E-99A1-30259B5257B3}" name="5/22/2026" dataDxfId="814"/>
    <tableColumn id="34" xr3:uid="{A2FBB277-59A8-C74E-B83B-FE007627FBF2}" name="05/29/2026" dataDxfId="813"/>
    <tableColumn id="35" xr3:uid="{343BBE30-0986-3947-89AA-33D0C5039ACB}" name="6/5/2026" dataDxfId="812"/>
    <tableColumn id="36" xr3:uid="{163AA5C7-0B51-7A4F-9856-E87D34035DF0}" name="6/12/2026" dataDxfId="811"/>
    <tableColumn id="37" xr3:uid="{37610300-3558-3B46-8DAD-3B07F4A0C031}" name="6/19/2026" dataDxfId="810"/>
    <tableColumn id="38" xr3:uid="{F0A32282-389E-424A-A308-1DA77A10553D}" name="6/26/2026" dataDxfId="809"/>
  </tableColumns>
  <tableStyleInfo name="TableStyleLight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31B80A00-A354-4657-ABD8-8950B988D582}" name="Table2111317" displayName="Table2111317" ref="A128:AL139" totalsRowShown="0" headerRowDxfId="808" dataDxfId="807" tableBorderDxfId="806">
  <autoFilter ref="A128:AL139" xr:uid="{0438CA60-DD76-4136-BC18-AD22F5B6EB0C}"/>
  <tableColumns count="38">
    <tableColumn id="1" xr3:uid="{1C6B9910-9A60-41ED-8AB3-1AD2ABDE648A}" name="Job Search Status" dataDxfId="805"/>
    <tableColumn id="2" xr3:uid="{486AC8B2-8B22-4A7B-8F47-113FA346D6E6}" name="10/13/2025" dataDxfId="804"/>
    <tableColumn id="3" xr3:uid="{6B751C3F-FA5C-4422-A6F4-E92A06B0F609}" name="10/17/2025" dataDxfId="803"/>
    <tableColumn id="4" xr3:uid="{25A6B924-12E6-48E9-BE0F-718EED9074FB}" name="10/24/2025" dataDxfId="802"/>
    <tableColumn id="5" xr3:uid="{1A89C4EF-4B61-457D-B757-6B307ADADF82}" name="10/31/2025" dataDxfId="801"/>
    <tableColumn id="6" xr3:uid="{1DA39645-6BA2-4129-8FDE-535E26048180}" name="11/7/2025" dataDxfId="800"/>
    <tableColumn id="7" xr3:uid="{8D1DFA9E-3CE0-4E3F-8AFF-217EA7EE0646}" name="11/14/2025" dataDxfId="799"/>
    <tableColumn id="8" xr3:uid="{326794D3-B462-45CD-9941-FEFB034CE0D8}" name="11/21/2025" dataDxfId="798"/>
    <tableColumn id="9" xr3:uid="{EE680382-B7F2-4D6F-A0DC-C2BA82CDEBAA}" name="11/28/2025" dataDxfId="797"/>
    <tableColumn id="10" xr3:uid="{40C0BB67-A912-419B-A67F-C1D0DB519C58}" name="12/5/2025" dataDxfId="796"/>
    <tableColumn id="11" xr3:uid="{6CE59181-F5DE-4CD2-8BDF-48753A357A3A}" name="12/12/2025" dataDxfId="795"/>
    <tableColumn id="12" xr3:uid="{C2D7C5AE-5D6B-4F30-8C90-C5980D034B4D}" name="12/19/2025" dataDxfId="794"/>
    <tableColumn id="13" xr3:uid="{B0ED1FC2-1C9E-450D-B16B-DE77A9906151}" name="12/26/2025" dataDxfId="793"/>
    <tableColumn id="14" xr3:uid="{0790CBE7-C6EF-4527-9AEC-08CE66294166}" name="1/2/2026" dataDxfId="792"/>
    <tableColumn id="15" xr3:uid="{CE7B06F8-CCBC-4D97-A060-2332A90B88E3}" name="1/9/2026" dataDxfId="791"/>
    <tableColumn id="16" xr3:uid="{C5693EA3-3C4F-4A90-832F-537EAB45035C}" name="1/16/2026" dataDxfId="790"/>
    <tableColumn id="17" xr3:uid="{D4C97142-5CE7-4043-B8FF-42CF9B28D6E5}" name="1/23/2026" dataDxfId="789"/>
    <tableColumn id="18" xr3:uid="{F8E47FE3-B5E2-4D82-A1D8-4FBE4F369EC2}" name="1/30/2026" dataDxfId="788"/>
    <tableColumn id="19" xr3:uid="{EB1FC8C1-163C-44ED-A423-BC9821846598}" name="2/6/2026" dataDxfId="787"/>
    <tableColumn id="20" xr3:uid="{96838C89-7395-43DD-801E-2BFC23EDC3AF}" name="2/13/2026" dataDxfId="786"/>
    <tableColumn id="21" xr3:uid="{DA5EE12B-A30A-4352-A803-818C8F6FB349}" name="2/20/2026" dataDxfId="785"/>
    <tableColumn id="22" xr3:uid="{1A5C5CB3-BAD9-45BC-9F41-140DE66333E5}" name="2/27/2026" dataDxfId="784"/>
    <tableColumn id="23" xr3:uid="{6DAF38B6-F358-4085-BFAD-808D146A927E}" name="3/13/2026" dataDxfId="783"/>
    <tableColumn id="24" xr3:uid="{0AF594E0-AFF7-4059-A7EF-99B9E6C39CC3}" name="3/20/2026" dataDxfId="782"/>
    <tableColumn id="25" xr3:uid="{475E0171-C1BF-4DCD-A547-B59EC72DF4C3}" name="3/27/2026" dataDxfId="781"/>
    <tableColumn id="26" xr3:uid="{E169D607-8C04-4B6C-9552-9E12DAD16F3B}" name="4/3/2026" dataDxfId="780"/>
    <tableColumn id="27" xr3:uid="{A01AC02C-1D7A-45D1-82C8-DADE467ACB94}" name="4/10/2026" dataDxfId="779"/>
    <tableColumn id="28" xr3:uid="{3A105DF6-D72F-400F-A021-4CB9F50EFFB0}" name="4/17/2026" dataDxfId="778"/>
    <tableColumn id="29" xr3:uid="{D088C2C2-961E-4F1E-9E48-3FC69C80D663}" name="4/24/2026" dataDxfId="777"/>
    <tableColumn id="30" xr3:uid="{F3824894-0193-094A-AA29-AD04C0FEB8C8}" name="5/1/2026" dataDxfId="776"/>
    <tableColumn id="31" xr3:uid="{896FD126-D973-3841-B03A-B0637ECC3F0D}" name="5/8/2026" dataDxfId="775"/>
    <tableColumn id="32" xr3:uid="{E4905068-C16B-4444-B589-C9035E3EE41E}" name="5/15/2026" dataDxfId="774"/>
    <tableColumn id="33" xr3:uid="{71585876-074A-2943-BDB4-2C2C0A3870E5}" name="5/22/2026" dataDxfId="773"/>
    <tableColumn id="34" xr3:uid="{BAF1443C-D3AD-7945-BB77-E2F117CD5F6B}" name="05/29/2026" dataDxfId="772"/>
    <tableColumn id="35" xr3:uid="{4850A47C-3300-0042-A0AC-FE9CB1D4AB15}" name="6/5/2026" dataDxfId="771"/>
    <tableColumn id="36" xr3:uid="{5045EF5C-DBA4-2D4D-9345-99862CE476BF}" name="6/12/2026" dataDxfId="770"/>
    <tableColumn id="37" xr3:uid="{76B8E982-8489-E54E-966B-DFCA7EEBCB5E}" name="6/19/2026" dataDxfId="769"/>
    <tableColumn id="38" xr3:uid="{D3343C9C-728A-A245-A2D9-055F60C8BECD}" name="6/26/2026" dataDxfId="768"/>
  </tableColumns>
  <tableStyleInfo name="TableStyleLight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8BAD32EB-D42F-4D13-9BF7-77B0D596BFEC}" name="Table110121618" displayName="Table110121618" ref="A142:AL143" totalsRowShown="0" headerRowDxfId="767" dataDxfId="766" tableBorderDxfId="765">
  <autoFilter ref="A142:AL143" xr:uid="{63CF7AF0-AB99-4A18-9A12-F743EE842F1E}"/>
  <tableColumns count="38">
    <tableColumn id="1" xr3:uid="{8BC75046-49A7-4796-BB3E-6208C5F0FBA8}" name="Placement" dataDxfId="764"/>
    <tableColumn id="2" xr3:uid="{F89A348A-C6FA-42FD-8653-998CBA6AD417}" name="10/13/2025" dataDxfId="763"/>
    <tableColumn id="3" xr3:uid="{80A45ACF-1182-40BD-954E-C2B63411404C}" name="10/17/2025" dataDxfId="762"/>
    <tableColumn id="4" xr3:uid="{95BA2B59-40EC-4015-838F-0E49E2B54F44}" name="10/24/2025" dataDxfId="761"/>
    <tableColumn id="5" xr3:uid="{84F96251-4C3D-4E1F-B57C-81A6B8207A69}" name="10/31/2025" dataDxfId="760"/>
    <tableColumn id="6" xr3:uid="{CF227CD6-D7CB-4269-8228-565E850D66AB}" name="11/7/2025" dataDxfId="759"/>
    <tableColumn id="7" xr3:uid="{72162DDC-8DE6-4BB2-8073-650237CE7C00}" name="11/14/2025" dataDxfId="758"/>
    <tableColumn id="8" xr3:uid="{8A890E75-F6C5-41EC-9733-AAAF953D9BE8}" name="11/21/2025" dataDxfId="757"/>
    <tableColumn id="9" xr3:uid="{CDD927F3-6E9E-4117-B7B3-7F5A13D7CABB}" name="11/28/2025" dataDxfId="756"/>
    <tableColumn id="10" xr3:uid="{FA2DA53D-62EE-445B-981A-96544BCD486A}" name="12/5/2025" dataDxfId="755"/>
    <tableColumn id="11" xr3:uid="{F79F2D0C-CF8D-499C-BE67-8B20E7EDE818}" name="12/12/2025" dataDxfId="754"/>
    <tableColumn id="12" xr3:uid="{7E9EEFED-78F1-403A-9B2D-87A08A37173D}" name="12/19/2025" dataDxfId="753"/>
    <tableColumn id="13" xr3:uid="{1CEDDF4F-BE4A-43BB-8287-F912738CF1B9}" name="12/26/2025" dataDxfId="752"/>
    <tableColumn id="14" xr3:uid="{D71E847E-2E66-4709-9068-7806FBBA7F6D}" name="1/2/2026" dataDxfId="751"/>
    <tableColumn id="15" xr3:uid="{71CE94F0-3C70-418C-87E5-EF013BCA3B96}" name="1/9/2026" dataDxfId="750"/>
    <tableColumn id="16" xr3:uid="{3DC1996D-4B0A-4C93-B212-3B122CED9F50}" name="1/16/2026" dataDxfId="749"/>
    <tableColumn id="17" xr3:uid="{CEB0DFE9-E599-433D-BB19-644B0BE019F9}" name="1/23/2026" dataDxfId="748"/>
    <tableColumn id="18" xr3:uid="{2D3C17FE-08E5-4306-97EA-7EDDF4199AE5}" name="1/30/2026" dataDxfId="747"/>
    <tableColumn id="19" xr3:uid="{836DCE56-1448-4360-AC65-DAE7D84050D3}" name="2/6/2026" dataDxfId="746"/>
    <tableColumn id="20" xr3:uid="{DEAF8DE2-C7D0-4675-98E2-CFF934CAA7D8}" name="2/13/2026" dataDxfId="745"/>
    <tableColumn id="21" xr3:uid="{0DA3F418-E7E1-4D6F-AD6B-60E0C0E35E80}" name="2/20/2026" dataDxfId="744"/>
    <tableColumn id="22" xr3:uid="{2675B365-E2BA-4AC9-AABF-D6993619DB67}" name="2/27/2026" dataDxfId="743"/>
    <tableColumn id="23" xr3:uid="{9E340600-E749-4A62-83A4-0727972CE5A9}" name="3/13/2026" dataDxfId="742"/>
    <tableColumn id="24" xr3:uid="{E4F88915-8018-43FB-B613-F241523AED06}" name="3/20/2026" dataDxfId="741"/>
    <tableColumn id="25" xr3:uid="{3EE11D71-C41B-4E68-9E28-1E888872C29E}" name="3/27/2026" dataDxfId="740"/>
    <tableColumn id="26" xr3:uid="{98DF280D-8E14-43E6-8E2E-918426401E2E}" name="4/3/2026" dataDxfId="739"/>
    <tableColumn id="27" xr3:uid="{65A2FB32-9928-43E8-9806-ED7143595D5C}" name="4/10/2026" dataDxfId="738"/>
    <tableColumn id="28" xr3:uid="{7744F38F-EE43-4438-9A50-9F8A85980896}" name="4/17/2026" dataDxfId="737"/>
    <tableColumn id="29" xr3:uid="{FCFC6F0F-69FB-4AAB-985A-C50C7E539651}" name="4/24/2026" dataDxfId="736"/>
    <tableColumn id="30" xr3:uid="{B17688D8-7B51-E346-8CA6-78448F2C5944}" name="5/1/2026" dataDxfId="735"/>
    <tableColumn id="31" xr3:uid="{8BBB3EE1-AA19-894D-B003-31C00C66F757}" name="5/8/2026" dataDxfId="734"/>
    <tableColumn id="32" xr3:uid="{08451B1B-C471-2543-9BCE-8E8767F93383}" name="5/15/2026" dataDxfId="733"/>
    <tableColumn id="33" xr3:uid="{D45DAF58-EB7C-4649-AA38-1DF26DA06052}" name="5/22/2026" dataDxfId="732"/>
    <tableColumn id="34" xr3:uid="{1DE3E4B9-C7F0-0246-BC6B-CEC506660BB2}" name="05/29/2026" dataDxfId="731"/>
    <tableColumn id="35" xr3:uid="{45FBDF1A-6A30-FF4C-A54E-F6598A13BC98}" name="6/5/2026" dataDxfId="730"/>
    <tableColumn id="36" xr3:uid="{26CBD10C-93C0-D84F-B018-66989E3585A3}" name="6/12/2026" dataDxfId="729"/>
    <tableColumn id="37" xr3:uid="{EC834F87-876E-A34F-A402-0A7BB7D902F7}" name="6/19/2026" dataDxfId="728"/>
    <tableColumn id="38" xr3:uid="{3D4041AB-CFE8-3042-B581-99885E84CF3B}" name="6/26/2026" dataDxfId="727"/>
  </tableColumns>
  <tableStyleInfo name="TableStyleLight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D1DC8ED9-2EF6-4F4B-8102-8B8EE123285F}" name="Table211131719" displayName="Table211131719" ref="A145:AL156" totalsRowShown="0" headerRowDxfId="726" dataDxfId="725" tableBorderDxfId="724">
  <autoFilter ref="A145:AL156" xr:uid="{0438CA60-DD76-4136-BC18-AD22F5B6EB0C}"/>
  <tableColumns count="38">
    <tableColumn id="1" xr3:uid="{6F291B7E-CB0A-4912-8056-921FE717ABF4}" name="Job Search Status" dataDxfId="723"/>
    <tableColumn id="2" xr3:uid="{1F987BE2-A6E4-49D9-BCC2-57B411E2AABE}" name="10/13/2025" dataDxfId="722"/>
    <tableColumn id="3" xr3:uid="{5096397E-135A-48DD-9ABF-C8BD700D6AF2}" name="10/17/2025" dataDxfId="721"/>
    <tableColumn id="4" xr3:uid="{80DAEE62-90C7-4D58-8FFA-01E7EBD29CE3}" name="10/24/2025" dataDxfId="720"/>
    <tableColumn id="5" xr3:uid="{9837B392-04FC-4EA8-BDDC-F7135F6BEFFC}" name="10/31/2025" dataDxfId="719"/>
    <tableColumn id="6" xr3:uid="{BAEEEE8C-4DCB-4766-81C5-94D916CCC831}" name="11/7/2025" dataDxfId="718"/>
    <tableColumn id="7" xr3:uid="{0DA7B8D6-B9FB-4403-8BD8-569981B1C02C}" name="11/14/2025" dataDxfId="717"/>
    <tableColumn id="8" xr3:uid="{80829426-0EEF-4966-A8B3-19007EDF3065}" name="11/21/2025" dataDxfId="716"/>
    <tableColumn id="9" xr3:uid="{4648161E-CB04-4FFD-B4DA-B11BB34FDDA2}" name="11/28/2025" dataDxfId="715"/>
    <tableColumn id="10" xr3:uid="{B3A15B9C-7C66-46CA-AB20-E344D7ADBF30}" name="12/5/2025" dataDxfId="714"/>
    <tableColumn id="11" xr3:uid="{29DA0167-3230-4CF8-8232-1E5697B46C19}" name="12/12/2025" dataDxfId="713"/>
    <tableColumn id="12" xr3:uid="{C688A4C7-910A-422C-8748-989BA1C11418}" name="12/19/2025" dataDxfId="712"/>
    <tableColumn id="13" xr3:uid="{77B2B819-CE71-4CCA-96D6-E7B1FCADA0BD}" name="12/26/2025" dataDxfId="711"/>
    <tableColumn id="14" xr3:uid="{8F1C1947-8CDF-4E2A-8C6B-814E827DC3AA}" name="1/2/2026" dataDxfId="710"/>
    <tableColumn id="15" xr3:uid="{BDBF8B74-268A-48E3-9D47-AE8BDD64A948}" name="1/9/2026" dataDxfId="709"/>
    <tableColumn id="16" xr3:uid="{B753365D-4D34-4E7E-BE64-F23F76564A34}" name="1/16/2026" dataDxfId="708"/>
    <tableColumn id="17" xr3:uid="{FD847753-3AA3-4E85-8498-80F86ADCCEC6}" name="1/23/2026" dataDxfId="707"/>
    <tableColumn id="18" xr3:uid="{38B62413-31FB-428D-A421-504A14ADBBE6}" name="1/30/2026" dataDxfId="706"/>
    <tableColumn id="19" xr3:uid="{30553B22-1E20-420D-9E95-9EFC95452DBD}" name="2/6/2026" dataDxfId="705"/>
    <tableColumn id="20" xr3:uid="{A485B2AE-391A-4CA9-B213-B4523B7C7EA0}" name="2/13/2026" dataDxfId="704"/>
    <tableColumn id="21" xr3:uid="{78CA4D89-FC0D-4A8B-B45A-66D4DB002DE8}" name="2/20/2026" dataDxfId="703"/>
    <tableColumn id="22" xr3:uid="{ACDF95AE-F239-4A87-B67D-FA52434A43F7}" name="2/27/2026" dataDxfId="702"/>
    <tableColumn id="23" xr3:uid="{FB25D04D-5B6C-4AAE-B03D-FA4D4D435755}" name="3/13/2026" dataDxfId="701"/>
    <tableColumn id="24" xr3:uid="{7CAAE526-9E43-411C-8094-43003A3D65A2}" name="3/20/2026" dataDxfId="700"/>
    <tableColumn id="25" xr3:uid="{18A900D6-1820-4828-99EE-4E1BDE011959}" name="3/27/2026" dataDxfId="699"/>
    <tableColumn id="26" xr3:uid="{8D34A860-F062-4F7A-AA99-BF4B43F8CD53}" name="4/3/2026" dataDxfId="698"/>
    <tableColumn id="27" xr3:uid="{018AC416-741E-4BAC-8FAD-239CF74E7898}" name="4/10/2026" dataDxfId="697"/>
    <tableColumn id="28" xr3:uid="{9EFFDE4E-FCB4-49EF-A4FC-4277A9F55006}" name="4/17/2026" dataDxfId="696"/>
    <tableColumn id="29" xr3:uid="{D23F9E87-9AB7-4EC8-AD77-DE9FC0C30F7E}" name="4/24/2026" dataDxfId="695"/>
    <tableColumn id="30" xr3:uid="{3287D335-C4C5-CE49-9D64-EA1573541E51}" name="5/1/2026" dataDxfId="694"/>
    <tableColumn id="31" xr3:uid="{69EBCE47-332E-7140-91B0-89140C03BC8D}" name="5/8/2026" dataDxfId="693"/>
    <tableColumn id="32" xr3:uid="{2B205D36-99E4-EA49-A0A5-85AF86D6FDFB}" name="5/15/2026" dataDxfId="692"/>
    <tableColumn id="33" xr3:uid="{4AECB7DB-8EAC-1846-BBFC-4C9AF62D311E}" name="5/22/2026" dataDxfId="691"/>
    <tableColumn id="34" xr3:uid="{7556C3C6-21BE-024B-89AC-31B3E10C26BE}" name="05/29/2026" dataDxfId="690"/>
    <tableColumn id="35" xr3:uid="{523C8E41-B96B-FC4C-A0E6-464BB4693173}" name="6/5/2026" dataDxfId="689"/>
    <tableColumn id="36" xr3:uid="{CAB15BBA-C6D8-994F-B6D3-3A2F3BF4EC2A}" name="6/12/2026" dataDxfId="688"/>
    <tableColumn id="37" xr3:uid="{ACBD556A-998D-5948-8799-BE61156378BC}" name="6/19/2026" dataDxfId="687"/>
    <tableColumn id="38" xr3:uid="{233A2519-5F3A-A243-A8CE-5DDC6151FF50}" name="6/26/2026" dataDxfId="686"/>
  </tableColumns>
  <tableStyleInfo name="TableStyleLight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3408D952-D9CD-4E23-84F3-BFA41AE93218}" name="Table11012161820" displayName="Table11012161820" ref="A159:AL160" totalsRowShown="0" headerRowDxfId="685" dataDxfId="684" tableBorderDxfId="683">
  <autoFilter ref="A159:AL160" xr:uid="{63CF7AF0-AB99-4A18-9A12-F743EE842F1E}"/>
  <tableColumns count="38">
    <tableColumn id="1" xr3:uid="{FB3B560C-09A4-4DF3-8B0D-06BA9CE53BE0}" name="Placement" dataDxfId="682"/>
    <tableColumn id="2" xr3:uid="{1FFD7B1B-B11A-405E-9E7A-77567065E720}" name="10/13/2025" dataDxfId="681"/>
    <tableColumn id="3" xr3:uid="{49C648AC-7090-44D0-9A6C-7EEC852071C2}" name="10/17/2025" dataDxfId="680"/>
    <tableColumn id="4" xr3:uid="{C0894B8B-800A-4A09-B019-45E5F259B684}" name="10/24/2025" dataDxfId="679"/>
    <tableColumn id="5" xr3:uid="{E240674B-313F-4DA9-903B-EB170BE43CDB}" name="10/31/2025" dataDxfId="678"/>
    <tableColumn id="6" xr3:uid="{29681E83-C308-4A51-A405-A99B4DB75194}" name="11/7/2025" dataDxfId="677"/>
    <tableColumn id="7" xr3:uid="{0C69154D-B0A2-4C9E-9ADC-F8DC0BF57FE6}" name="11/14/2025" dataDxfId="676"/>
    <tableColumn id="8" xr3:uid="{CB400065-2901-4DF9-B009-9CE5E7BC7FFF}" name="11/21/2025" dataDxfId="675"/>
    <tableColumn id="9" xr3:uid="{A4FDECA3-B7F4-458D-9A62-DB355D7A4D34}" name="11/28/2025" dataDxfId="674"/>
    <tableColumn id="10" xr3:uid="{4506F322-AAE8-41B2-86C1-A8938F1C2301}" name="12/5/2025" dataDxfId="673"/>
    <tableColumn id="11" xr3:uid="{11CA536E-1E9B-4F9D-A39E-183217B8BFD5}" name="12/12/2025" dataDxfId="672"/>
    <tableColumn id="12" xr3:uid="{5E444B00-5545-4646-8D73-A2BEAC0FDF2D}" name="12/19/2025" dataDxfId="671"/>
    <tableColumn id="13" xr3:uid="{9C4E5A0E-8FBC-4E19-ADE1-88400D190303}" name="12/26/2025" dataDxfId="670"/>
    <tableColumn id="14" xr3:uid="{BBEA1D18-1F73-4EE1-96AD-4DE99C1A555F}" name="1/2/2026" dataDxfId="669"/>
    <tableColumn id="15" xr3:uid="{01F512C9-18C4-4A38-8588-B378B2C71CE8}" name="1/9/2026" dataDxfId="668"/>
    <tableColumn id="16" xr3:uid="{B32279CD-6F01-4382-863E-575DEFF2D593}" name="1/16/2026" dataDxfId="667"/>
    <tableColumn id="17" xr3:uid="{472ED293-C6EF-487D-A34C-C390A1845F4D}" name="1/23/2026" dataDxfId="666"/>
    <tableColumn id="18" xr3:uid="{F1F1E8FD-4232-4638-9F01-36EC769F4177}" name="1/30/2026" dataDxfId="665"/>
    <tableColumn id="20" xr3:uid="{9E37BEBD-A132-4B34-A3E3-6527E1554BF7}" name="2/6/2026" dataDxfId="664"/>
    <tableColumn id="21" xr3:uid="{4F7633FA-1707-4EE9-8849-F2D0CA4ADBD7}" name="2/13/2026" dataDxfId="663"/>
    <tableColumn id="22" xr3:uid="{9A6F5F72-BF73-466E-A088-2CBEEE1D4C9B}" name="2/20/2026" dataDxfId="662"/>
    <tableColumn id="23" xr3:uid="{C15228F1-9133-4AFB-AF95-E9706EAD2817}" name="2/27/2026" dataDxfId="661">
      <calculatedColumnFormula>V163/(V163+V164+V166)</calculatedColumnFormula>
    </tableColumn>
    <tableColumn id="19" xr3:uid="{9B9AE93D-EC27-4020-ACF3-1AD02A9F85A6}" name="3/13/2026" dataDxfId="660"/>
    <tableColumn id="24" xr3:uid="{33F87D4E-AE78-4FDB-B9B2-CD4B9C3A0988}" name="3/20/2026" dataDxfId="659"/>
    <tableColumn id="25" xr3:uid="{1A5A4558-E4AE-4F5E-A312-BC5AD5BF4449}" name="3/27/2026" dataDxfId="658"/>
    <tableColumn id="26" xr3:uid="{9F8A3B1B-D234-4A94-9478-F476B9C55AA8}" name="4/3/2026" dataDxfId="657"/>
    <tableColumn id="27" xr3:uid="{0727F830-E1B8-465F-812C-A2BAC587B8E3}" name="4/10/2026" dataDxfId="656"/>
    <tableColumn id="28" xr3:uid="{DDD595C8-9700-45A9-8D37-743B8C6F09CD}" name="4/17/2026" dataDxfId="655"/>
    <tableColumn id="29" xr3:uid="{E17D6ED0-A408-4A60-887B-0A21C88616FF}" name="4/24/2026" dataDxfId="654"/>
    <tableColumn id="30" xr3:uid="{A3735803-E94A-C040-B798-379EB15D681D}" name="5/1/2026" dataDxfId="653"/>
    <tableColumn id="31" xr3:uid="{B00C90C4-C90B-7044-B861-FE88B06C541E}" name="5/8/2026" dataDxfId="652"/>
    <tableColumn id="32" xr3:uid="{FE902797-8B33-FB45-88B1-BF49FC228E5B}" name="5/15/2026" dataDxfId="651"/>
    <tableColumn id="33" xr3:uid="{E71178A0-89FA-2345-A679-BA43E63EF1B3}" name="5/22/2026" dataDxfId="650"/>
    <tableColumn id="34" xr3:uid="{6259C774-F0F1-5545-B6DF-77B09B6E9790}" name="05/29/2026" dataDxfId="649"/>
    <tableColumn id="35" xr3:uid="{745C80C9-DA7C-8448-A929-0F9EFB40FD5A}" name="6/5/2026" dataDxfId="648"/>
    <tableColumn id="36" xr3:uid="{A852E34A-5BEE-1E45-A04E-54931FC6A2C3}" name="6/12/2026" dataDxfId="647"/>
    <tableColumn id="37" xr3:uid="{6CE4BDD5-53DF-9247-B2A2-FC473BCFE2E5}" name="6/19/2026" dataDxfId="646"/>
    <tableColumn id="38" xr3:uid="{1B15D96D-A7AF-5F4C-BBD0-5B48A9655061}" name="6/26/2026" dataDxfId="645"/>
  </tableColumns>
  <tableStyleInfo name="TableStyleLight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15455B7F-0DBB-4E0C-9F2A-B7EE5592DCE9}" name="Table21113171921" displayName="Table21113171921" ref="A162:AL173" totalsRowShown="0" headerRowDxfId="644" dataDxfId="643" tableBorderDxfId="642">
  <autoFilter ref="A162:AL173" xr:uid="{0438CA60-DD76-4136-BC18-AD22F5B6EB0C}"/>
  <tableColumns count="38">
    <tableColumn id="1" xr3:uid="{5F458980-AB46-46E5-957F-D2093C2CD4DD}" name="Job Search Status" dataDxfId="641"/>
    <tableColumn id="2" xr3:uid="{A2F5A050-8DA7-40A3-86C1-268C5AC590FA}" name="10/13/2025" dataDxfId="640"/>
    <tableColumn id="3" xr3:uid="{1C901615-8335-4C25-B88C-49ABFC91591D}" name="10/17/2025" dataDxfId="639"/>
    <tableColumn id="4" xr3:uid="{F36F1FC2-3E55-402C-88DE-1211770CA03A}" name="10/24/2025" dataDxfId="638"/>
    <tableColumn id="5" xr3:uid="{D82EC754-79E9-419A-A3B7-486B8DF4E407}" name="10/31/2025" dataDxfId="637"/>
    <tableColumn id="6" xr3:uid="{E7C66862-D2E7-4F36-8152-570DD3F5C8E3}" name="11/7/2025" dataDxfId="636"/>
    <tableColumn id="7" xr3:uid="{D7F30F5B-CC84-461F-AF46-EF28F22C33D4}" name="11/14/2025" dataDxfId="635"/>
    <tableColumn id="8" xr3:uid="{54B387AE-A21F-46EE-A518-18600344697D}" name="11/21/2025" dataDxfId="634"/>
    <tableColumn id="9" xr3:uid="{5BEECA59-650E-4635-A003-2FB8B5CD32EB}" name="11/28/2025" dataDxfId="633"/>
    <tableColumn id="10" xr3:uid="{40D5ABE5-7A6D-4736-A645-017B44045DD6}" name="12/5/2025" dataDxfId="632"/>
    <tableColumn id="11" xr3:uid="{4C8B8778-4D73-49A5-B2C7-C775FA249431}" name="12/12/2025" dataDxfId="631"/>
    <tableColumn id="12" xr3:uid="{C265C03D-FCA9-4196-B8B7-252FFD4418DE}" name="12/19/2025" dataDxfId="630"/>
    <tableColumn id="13" xr3:uid="{054A3CA0-A09A-497D-9AE0-46E5D21F15DD}" name="12/26/2025" dataDxfId="629"/>
    <tableColumn id="14" xr3:uid="{CD15C94F-B251-4374-855D-81E68BD0C63F}" name="1/2/2026" dataDxfId="628"/>
    <tableColumn id="15" xr3:uid="{ABBB5417-A04F-4E7C-970F-D1A3FC38AD48}" name="1/9/2026" dataDxfId="627"/>
    <tableColumn id="16" xr3:uid="{722B7870-830A-48BE-85FD-0BA50272A57A}" name="1/16/2026" dataDxfId="626"/>
    <tableColumn id="17" xr3:uid="{D33D548E-93FD-4185-B748-527F8157B158}" name="1/23/2026" dataDxfId="625"/>
    <tableColumn id="18" xr3:uid="{1E4F6403-BD93-44E8-BE66-BB4B2D170D61}" name="1/30/2026" dataDxfId="624"/>
    <tableColumn id="19" xr3:uid="{DDDE9A1E-4CE5-46DE-B554-6AF2E6FB8203}" name="2/6/2026" dataDxfId="623"/>
    <tableColumn id="20" xr3:uid="{2CC8EB26-B6B7-41F7-A418-4C4B8769AEE5}" name="2/13/2026" dataDxfId="622"/>
    <tableColumn id="21" xr3:uid="{EDE7CC13-9705-4E93-BBDF-A6114BB2BCC8}" name="2/20/2026" dataDxfId="621"/>
    <tableColumn id="22" xr3:uid="{2DA9C9C5-A944-45CB-B37F-A88608F74349}" name="2/27/2026" dataDxfId="620"/>
    <tableColumn id="23" xr3:uid="{4031396F-513E-40A3-B849-13F4F4E5CB8F}" name="3/13/2026" dataDxfId="619"/>
    <tableColumn id="24" xr3:uid="{F8B97A16-51D5-4864-B88F-0EB48088D3FE}" name="3/20/2026" dataDxfId="618"/>
    <tableColumn id="25" xr3:uid="{838B4E9E-8B4C-47E7-802A-72D3A7FF91BD}" name="3/27/2026" dataDxfId="617"/>
    <tableColumn id="26" xr3:uid="{53FE278D-FF06-462A-A111-2CE8B2F5820C}" name="4/3/2026" dataDxfId="616"/>
    <tableColumn id="27" xr3:uid="{FC737572-1FBC-4B47-9334-A66E4DD2A3B9}" name="4/10/2026" dataDxfId="615"/>
    <tableColumn id="28" xr3:uid="{703E5CE2-95E3-45E5-A632-6A9F20592335}" name="4/17/2026" dataDxfId="614"/>
    <tableColumn id="29" xr3:uid="{FB4B45FD-2F32-4B93-ADAA-930227499FF1}" name="4/24/2026" dataDxfId="613"/>
    <tableColumn id="30" xr3:uid="{01A6A79A-4736-794A-B1E9-60A05C6B1B84}" name="5/1/2026" dataDxfId="612"/>
    <tableColumn id="31" xr3:uid="{FEBFE025-41E7-1843-B958-E49CD7375024}" name="5/8/2026" dataDxfId="611"/>
    <tableColumn id="32" xr3:uid="{82D53061-9CC7-3B43-A829-1DBC38BF9F9A}" name="5/15/2026" dataDxfId="610"/>
    <tableColumn id="33" xr3:uid="{9D6B966C-A0DD-A648-B411-6608B47E94B9}" name="5/22/2026" dataDxfId="609"/>
    <tableColumn id="34" xr3:uid="{530D66FF-8511-B84D-97C0-C1AB836B8864}" name="05/29/2026" dataDxfId="608"/>
    <tableColumn id="35" xr3:uid="{E09FE68C-E45B-FA40-8D98-7CAB453DDCF9}" name="6/5/2026" dataDxfId="607"/>
    <tableColumn id="36" xr3:uid="{8794EDE2-FE4B-DC4A-AE61-379FE3E41D36}" name="6/12/2026" dataDxfId="606"/>
    <tableColumn id="37" xr3:uid="{A30B8BC7-EB9A-3440-9B0E-7DFEF450FBA1}" name="6/19/2026" dataDxfId="605"/>
    <tableColumn id="38" xr3:uid="{3EC81F8F-57F6-FA4D-9D47-705C95644AAA}" name="6/26/2026" dataDxfId="604"/>
  </tableColumns>
  <tableStyleInfo name="TableStyleLight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E427C563-1CF5-4109-BE50-9C2E715A154B}" name="Table1101216182022" displayName="Table1101216182022" ref="A176:AL177" totalsRowShown="0" headerRowDxfId="603" dataDxfId="602" tableBorderDxfId="601">
  <autoFilter ref="A176:AL177" xr:uid="{63CF7AF0-AB99-4A18-9A12-F743EE842F1E}"/>
  <tableColumns count="38">
    <tableColumn id="1" xr3:uid="{D4FD4A25-F91C-4DDE-8626-891D5C6FE538}" name="Placement" dataDxfId="600"/>
    <tableColumn id="2" xr3:uid="{C9642C5C-F8C6-47B4-9A38-255E6E1BDAB6}" name="10/13/2025" dataDxfId="599"/>
    <tableColumn id="3" xr3:uid="{807EBC55-ED50-4004-AE42-F531B66C31C9}" name="10/17/2025" dataDxfId="598"/>
    <tableColumn id="4" xr3:uid="{B1596F5D-6D37-4533-B7BF-43F036DD922C}" name="10/24/2025" dataDxfId="597"/>
    <tableColumn id="5" xr3:uid="{4A319073-DC76-4DF4-9D8D-1F13337F3EC5}" name="10/31/2025" dataDxfId="596"/>
    <tableColumn id="6" xr3:uid="{94EC9EDA-4D7A-4785-AA11-B55AFA76776E}" name="11/7/2025" dataDxfId="595"/>
    <tableColumn id="7" xr3:uid="{59177151-6F44-4AF7-AA0A-AC0824D0F291}" name="11/14/2025" dataDxfId="594"/>
    <tableColumn id="8" xr3:uid="{99C71752-D5EF-45D4-928C-0EA2F4C8066A}" name="11/21/2025" dataDxfId="593"/>
    <tableColumn id="9" xr3:uid="{5EF20D52-57E4-45A0-ACC0-0FECA4A388B9}" name="11/28/2025" dataDxfId="592"/>
    <tableColumn id="10" xr3:uid="{A14CFF9F-7723-4C47-A827-E5637C857C2B}" name="12/5/2025" dataDxfId="591"/>
    <tableColumn id="11" xr3:uid="{FC59DCED-2CAB-4760-BAC7-74183B5C60A9}" name="12/12/2025" dataDxfId="590"/>
    <tableColumn id="12" xr3:uid="{3BA94036-0B47-46DF-8C25-05ED21BC9513}" name="12/19/2025" dataDxfId="589"/>
    <tableColumn id="13" xr3:uid="{81C1C53F-4C9C-4AD1-B694-CA3E83BB3CBF}" name="12/26/2025" dataDxfId="588"/>
    <tableColumn id="14" xr3:uid="{9A0A5992-B3FF-4C2C-856B-0DD7DBB37BBC}" name="1/2/2026" dataDxfId="587"/>
    <tableColumn id="15" xr3:uid="{81D55310-7F35-4355-A8B4-5096BFDC953B}" name="1/9/2026" dataDxfId="586"/>
    <tableColumn id="16" xr3:uid="{755A0025-8649-4520-A7AF-26CE46D2A1E6}" name="1/16/2026" dataDxfId="585"/>
    <tableColumn id="17" xr3:uid="{D312EEDA-2FBF-46B0-A7F5-8BE35FFFC7AB}" name="1/23/2026" dataDxfId="584"/>
    <tableColumn id="18" xr3:uid="{A88AA3E4-AD04-4723-AE3E-18CB2373F0B1}" name="1/30/2026" dataDxfId="583"/>
    <tableColumn id="19" xr3:uid="{02941F44-ACCA-441D-B9DE-A360AF2B49D4}" name="2/6/2026" dataDxfId="582"/>
    <tableColumn id="20" xr3:uid="{ADFBEE95-1EDF-4B3B-BD03-C5D6FEDD14C0}" name="2/13/2026" dataDxfId="581"/>
    <tableColumn id="21" xr3:uid="{41FE08C8-82A1-42D1-9D3E-7698E504DBE1}" name="2/20/2026" dataDxfId="580"/>
    <tableColumn id="22" xr3:uid="{0340D5F6-0849-4B6B-89CF-FDC076836D2B}" name="2/27/2026" dataDxfId="579"/>
    <tableColumn id="23" xr3:uid="{56BB47C7-5D05-42D3-9755-54494E2D004F}" name="3/13/2026" dataDxfId="578"/>
    <tableColumn id="24" xr3:uid="{FAB52E37-76D7-4BD4-8685-4FDB17B83814}" name="3/20/2026" dataDxfId="577"/>
    <tableColumn id="25" xr3:uid="{A2C6933C-437C-4809-B899-2F76EF50EA5C}" name="3/27/2026" dataDxfId="576"/>
    <tableColumn id="26" xr3:uid="{BA580DC3-A1A3-4AFF-AEC1-940DDC810777}" name="4/3/2026" dataDxfId="575"/>
    <tableColumn id="27" xr3:uid="{D700FC66-208F-4897-876A-F74FADFD32B0}" name="4/10/2026" dataDxfId="574"/>
    <tableColumn id="28" xr3:uid="{119172D3-07A6-4865-ADB5-D015C997698B}" name="4/17/2026" dataDxfId="573"/>
    <tableColumn id="29" xr3:uid="{2A395694-E6AB-406C-B626-71B95606B98F}" name="4/24/2026" dataDxfId="572"/>
    <tableColumn id="30" xr3:uid="{4E2718A2-6F9D-A44F-B004-A49AD4CA1333}" name="5/1/2026" dataDxfId="571"/>
    <tableColumn id="31" xr3:uid="{D1403406-5783-5F4A-B0BE-F1C1BA511782}" name="5/8/2026" dataDxfId="570"/>
    <tableColumn id="32" xr3:uid="{7002F64D-1344-EE4D-B1C1-51084CF45A9D}" name="5/15/2026" dataDxfId="569"/>
    <tableColumn id="33" xr3:uid="{AFADBE85-7925-E042-A207-55E083B47B6D}" name="5/22/2026" dataDxfId="568"/>
    <tableColumn id="34" xr3:uid="{40E59AA5-10E8-DE4F-A5B8-DFD413B62E56}" name="05/29/2026" dataDxfId="567"/>
    <tableColumn id="35" xr3:uid="{AF47A1E9-46F9-F145-9B6F-8C054FB451F9}" name="6/5/2026" dataDxfId="566"/>
    <tableColumn id="36" xr3:uid="{4EE08AC8-2313-764C-9777-B1B3C0A4DF08}" name="6/12/2026" dataDxfId="565"/>
    <tableColumn id="37" xr3:uid="{B9694520-ABBA-334D-8C6A-6FBDE5E5E118}" name="6/19/2026" dataDxfId="564"/>
    <tableColumn id="38" xr3:uid="{D04170D1-2EEB-694F-92A3-C5692231C524}" name="6/26/2026" dataDxfId="563"/>
  </tableColumns>
  <tableStyleInfo name="TableStyleLight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70EB9ADF-DE50-47D1-A49E-14CF74DF63E6}" name="Table2111317192123" displayName="Table2111317192123" ref="A179:AL190" totalsRowShown="0" headerRowDxfId="562" dataDxfId="561" tableBorderDxfId="560">
  <autoFilter ref="A179:AL190" xr:uid="{0438CA60-DD76-4136-BC18-AD22F5B6EB0C}"/>
  <tableColumns count="38">
    <tableColumn id="1" xr3:uid="{0AC98E94-3EF8-4760-A555-E80C98C56530}" name="Job Search Status" dataDxfId="559"/>
    <tableColumn id="2" xr3:uid="{B73578AE-62A6-47C5-84B9-D39F3ED4D7C5}" name="10/13/2025" dataDxfId="558"/>
    <tableColumn id="3" xr3:uid="{2AEC8700-A65D-4E4D-926A-0C6A45A46F0E}" name="10/17/2025" dataDxfId="557"/>
    <tableColumn id="4" xr3:uid="{2E3CA2D7-E5DC-4441-B5C1-F439F689F2A9}" name="10/24/2025" dataDxfId="556"/>
    <tableColumn id="5" xr3:uid="{E546599D-54E3-4A9A-BDB7-65D65DBFAD0F}" name="10/31/2025" dataDxfId="555"/>
    <tableColumn id="6" xr3:uid="{03F499DA-0A41-491A-97F1-AA3F7ABD62EF}" name="11/7/2025" dataDxfId="554"/>
    <tableColumn id="7" xr3:uid="{34949AE4-B5E9-491B-8FD9-8F96A65C00DB}" name="11/14/2025" dataDxfId="553"/>
    <tableColumn id="8" xr3:uid="{448BC667-DC68-4F53-9424-8FDA736DE0D3}" name="11/21/2025" dataDxfId="552"/>
    <tableColumn id="9" xr3:uid="{211D1019-ED1E-4F00-9BB8-D5AA4B0E3CD0}" name="11/28/2025" dataDxfId="551"/>
    <tableColumn id="10" xr3:uid="{9502A501-1768-4630-9604-2ABB1F2DBC25}" name="12/5/2025" dataDxfId="550"/>
    <tableColumn id="11" xr3:uid="{CB260036-1AE3-410D-8071-130BD71A3445}" name="12/12/2025" dataDxfId="549"/>
    <tableColumn id="12" xr3:uid="{5CE0891C-16B5-4829-ABF8-90426EFB9A88}" name="12/19/2025" dataDxfId="548"/>
    <tableColumn id="13" xr3:uid="{6E166D98-48DA-488B-9F35-4F21A69D5AF9}" name="12/26/2025" dataDxfId="547"/>
    <tableColumn id="14" xr3:uid="{95C1AEC5-4DFE-4E7B-B217-723A94609C09}" name="1/2/2026" dataDxfId="546"/>
    <tableColumn id="15" xr3:uid="{98BCDBE7-2068-4D3E-B146-9F109FA3FE04}" name="1/9/2026" dataDxfId="545"/>
    <tableColumn id="16" xr3:uid="{165362A4-600B-4493-A563-D0551F33401F}" name="1/16/2026" dataDxfId="544"/>
    <tableColumn id="17" xr3:uid="{037ED8AB-A793-4DFC-BF1A-C484D41B8C22}" name="1/23/2026" dataDxfId="543"/>
    <tableColumn id="18" xr3:uid="{AD7E4F73-5D3C-4876-A268-8D92142E6AC2}" name="1/30/2026" dataDxfId="542"/>
    <tableColumn id="19" xr3:uid="{A74CDAC9-9159-438E-8554-932E4B9C2EA3}" name="2/6/2026" dataDxfId="541"/>
    <tableColumn id="20" xr3:uid="{059AE21D-E00A-49C7-88B7-8CD584D5C6EE}" name="2/13/2026" dataDxfId="540"/>
    <tableColumn id="21" xr3:uid="{C9AD13DE-D8EF-4C52-89AA-B8B6E2F3ADC8}" name="2/20/2026" dataDxfId="539"/>
    <tableColumn id="22" xr3:uid="{6C017A7F-C663-4753-9B4D-4F21BD0027F0}" name="2/27/2026" dataDxfId="538"/>
    <tableColumn id="23" xr3:uid="{2A2EA9A0-25A3-4CC5-8273-563E6B249383}" name="3/13/2026" dataDxfId="537"/>
    <tableColumn id="24" xr3:uid="{2640604A-9506-4298-9D33-3F44429BA234}" name="3/20/2026" dataDxfId="536"/>
    <tableColumn id="25" xr3:uid="{2C804F93-90A0-4C87-AFE5-C8C9F4CA2954}" name="3/27/2026" dataDxfId="535"/>
    <tableColumn id="26" xr3:uid="{691CDDE6-EF92-4B72-BEE5-E341E6718BEF}" name="4/3/2026" dataDxfId="534"/>
    <tableColumn id="27" xr3:uid="{413AC49B-45E9-433C-AAED-B283302C57B2}" name="4/10/2026" dataDxfId="533"/>
    <tableColumn id="28" xr3:uid="{7287EB7E-17BC-4586-AC7F-C25DBDC965AF}" name="4/17/2026" dataDxfId="532"/>
    <tableColumn id="29" xr3:uid="{67786091-F1A1-494C-B8C3-5767DE42E336}" name="4/24/2026" dataDxfId="531"/>
    <tableColumn id="30" xr3:uid="{B449C4CF-03C6-FA43-AF64-EE77D137E943}" name="5/1/2026" dataDxfId="530"/>
    <tableColumn id="31" xr3:uid="{FB5811B4-A831-4D4E-B8A2-755287831492}" name="5/8/2026" dataDxfId="529"/>
    <tableColumn id="32" xr3:uid="{4B5369AC-964D-5E4D-BDA3-8145AA2DC7B8}" name="5/15/2026" dataDxfId="528"/>
    <tableColumn id="33" xr3:uid="{A304DCAA-8A02-474E-AE1F-94DB34A81960}" name="5/22/2026" dataDxfId="527"/>
    <tableColumn id="34" xr3:uid="{E772EB45-4AE3-9F43-B64D-6145C774FC6D}" name="05/29/2026" dataDxfId="526"/>
    <tableColumn id="35" xr3:uid="{BC666326-1D99-FA43-A62A-75FD03A15BE1}" name="6/5/2026" dataDxfId="525"/>
    <tableColumn id="36" xr3:uid="{1E52B0DE-8A3C-E04C-86A3-2B84FE6CAC47}" name="6/12/2026" dataDxfId="524"/>
    <tableColumn id="37" xr3:uid="{9C218FA3-3387-5545-8B2A-9FABBD7BC368}" name="6/19/2026" dataDxfId="523"/>
    <tableColumn id="38" xr3:uid="{2183615F-650A-3249-ABC4-A115EB03BA31}" name="6/26/2026" dataDxfId="522"/>
  </tableColumns>
  <tableStyleInfo name="TableStyleLight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2379A98C-1483-437B-B159-8F7F42E07CC4}" name="Table110121618202224" displayName="Table110121618202224" ref="A193:AL194" totalsRowShown="0" headerRowDxfId="521" dataDxfId="520" tableBorderDxfId="519">
  <autoFilter ref="A193:AL194" xr:uid="{63CF7AF0-AB99-4A18-9A12-F743EE842F1E}"/>
  <tableColumns count="38">
    <tableColumn id="1" xr3:uid="{88B95E48-C678-488B-B683-6F4CF54F4E6A}" name="Placement" dataDxfId="518"/>
    <tableColumn id="2" xr3:uid="{ECF9838F-A469-4135-AA28-ACB8E9BA3820}" name="10/13/2025" dataDxfId="517"/>
    <tableColumn id="3" xr3:uid="{9093B220-0D61-44D5-8142-7701E1F35A4F}" name="10/17/2025" dataDxfId="516"/>
    <tableColumn id="4" xr3:uid="{D4C171C8-4BC7-4381-822F-D4FEC2555E38}" name="10/24/2025" dataDxfId="515"/>
    <tableColumn id="5" xr3:uid="{A7E2C30B-0253-4287-A04C-BBB650AA0D70}" name="10/31/2025" dataDxfId="514"/>
    <tableColumn id="6" xr3:uid="{0A73F664-0AD2-4531-8F53-063B8CA169B8}" name="11/7/2025" dataDxfId="513"/>
    <tableColumn id="7" xr3:uid="{629519D1-AE2D-4365-B0B6-B449FBF0AB9F}" name="11/14/2025" dataDxfId="512"/>
    <tableColumn id="8" xr3:uid="{53CA2778-3040-4253-80D6-4C695736746B}" name="11/21/2025" dataDxfId="511"/>
    <tableColumn id="9" xr3:uid="{ACE033C3-D2D9-4F1D-AA9A-A8D1BE072D5D}" name="11/28/2025" dataDxfId="510"/>
    <tableColumn id="10" xr3:uid="{24BBF2F9-20A7-46FC-B1E0-50F55ACF2EFC}" name="12/5/2025" dataDxfId="509"/>
    <tableColumn id="11" xr3:uid="{3111071B-04B9-46AA-A1BB-9E18AE343402}" name="12/12/2025" dataDxfId="508"/>
    <tableColumn id="12" xr3:uid="{9F3EDD91-2A27-4085-9783-911BDD82C4C3}" name="12/19/2025" dataDxfId="507"/>
    <tableColumn id="13" xr3:uid="{1E4B9B70-C16B-4F23-B988-1D0FC38F65DD}" name="12/26/2025" dataDxfId="506"/>
    <tableColumn id="14" xr3:uid="{190389DE-5480-4751-AA50-FF1FB742FA1F}" name="1/2/2026" dataDxfId="505"/>
    <tableColumn id="15" xr3:uid="{7BA3B784-C77D-4F23-9D0A-47627D1D29DD}" name="1/9/2026" dataDxfId="504"/>
    <tableColumn id="16" xr3:uid="{A65C68A0-147B-4775-9CAD-8F9DFDFC346D}" name="1/16/2026" dataDxfId="503"/>
    <tableColumn id="17" xr3:uid="{DC6B137A-0DD0-4609-ADEE-CA87B9A82CEC}" name="1/23/2026" dataDxfId="502"/>
    <tableColumn id="18" xr3:uid="{77EDF447-2667-4289-94F6-D6CD6C7E2E29}" name="1/30/2026" dataDxfId="501"/>
    <tableColumn id="19" xr3:uid="{275EB3C9-2FD2-443C-94CF-73CB704D4A52}" name="2/6/2026" dataDxfId="500"/>
    <tableColumn id="20" xr3:uid="{CE61DE6A-D6F2-467B-A776-02F39A9CDB4E}" name="2/13/2026" dataDxfId="499"/>
    <tableColumn id="21" xr3:uid="{6AA6D768-C56A-45A6-9771-72B892B246CF}" name="2/20/2026" dataDxfId="498"/>
    <tableColumn id="22" xr3:uid="{3533A728-53BF-436B-892E-9440D79F2677}" name="2/27/2026" dataDxfId="497"/>
    <tableColumn id="23" xr3:uid="{BE3E1D71-5B9C-47BA-85C1-CBDDA2F5F98C}" name="3/13/2026" dataDxfId="496"/>
    <tableColumn id="24" xr3:uid="{DDE1B8AC-1929-487F-8064-24069363546C}" name="3/20/2026" dataDxfId="495"/>
    <tableColumn id="25" xr3:uid="{E7D77CB2-16C8-4A62-A2DF-E9FCD8B6A841}" name="3/27/2026" dataDxfId="494"/>
    <tableColumn id="26" xr3:uid="{E82B6EA2-4295-41C8-BDD8-4D0F6285E403}" name="4/3/2026" dataDxfId="493"/>
    <tableColumn id="27" xr3:uid="{45997F1A-8EA4-4A67-94D9-74F8DD399EE0}" name="4/10/2026" dataDxfId="492"/>
    <tableColumn id="28" xr3:uid="{A544EA07-FEF0-45A3-A7B9-ACA7333D9342}" name="4/17/2026" dataDxfId="491"/>
    <tableColumn id="29" xr3:uid="{37A5D174-E940-43E2-BFDB-0F6BA9D28FBC}" name="4/24/2026" dataDxfId="490"/>
    <tableColumn id="30" xr3:uid="{CC0E1FBA-4894-174B-8DD9-D5CD27BF1A56}" name="5/1/2026" dataDxfId="489"/>
    <tableColumn id="31" xr3:uid="{DE1D2F4E-4FD0-3147-96B7-DE89169E50A9}" name="5/8/2026" dataDxfId="488"/>
    <tableColumn id="32" xr3:uid="{34FB9CF5-B843-074C-8351-F001CEFAC599}" name="5/15/2026" dataDxfId="487"/>
    <tableColumn id="33" xr3:uid="{2393EBBC-5A4F-1344-AA06-38F62352352A}" name="5/22/2026" dataDxfId="486"/>
    <tableColumn id="34" xr3:uid="{47F9B8E6-BB52-C848-97F5-6E9C427655CF}" name="05/29/2026" dataDxfId="485"/>
    <tableColumn id="35" xr3:uid="{F34BBB99-DD2D-6845-BDE3-F232B10691B5}" name="6/5/2026" dataDxfId="484"/>
    <tableColumn id="36" xr3:uid="{A4852C00-6DC4-A743-B6D0-288FFF257590}" name="6/12/2026" dataDxfId="483"/>
    <tableColumn id="37" xr3:uid="{B93BE981-3B15-DC48-A3DC-81D88D87A034}" name="6/19/2026" dataDxfId="482"/>
    <tableColumn id="38" xr3:uid="{A73DB60B-CBFF-6942-AFD5-EDC91102A72F}" name="6/26/2026" dataDxfId="481"/>
  </tableColumns>
  <tableStyleInfo name="TableStyleLight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9941715-A2C6-428A-BD09-E8EF212294F3}" name="Table211131719212325" displayName="Table211131719212325" ref="A196:AL207" totalsRowShown="0" headerRowDxfId="480" dataDxfId="479" tableBorderDxfId="478">
  <autoFilter ref="A196:AL207" xr:uid="{0438CA60-DD76-4136-BC18-AD22F5B6EB0C}"/>
  <tableColumns count="38">
    <tableColumn id="1" xr3:uid="{9B55BE76-0F79-4037-9C1B-16EF93F25A77}" name="Job Search Status" dataDxfId="477"/>
    <tableColumn id="2" xr3:uid="{A57DADCD-A8D3-4793-92D7-5FBC3E9FE777}" name="10/13/2025" dataDxfId="476"/>
    <tableColumn id="3" xr3:uid="{60F02E90-4191-4292-9B12-D4FA408FFC12}" name="10/17/2025" dataDxfId="475"/>
    <tableColumn id="4" xr3:uid="{1BBEC0E7-7F98-4557-A7CD-37023487A2D4}" name="10/24/2025" dataDxfId="474"/>
    <tableColumn id="5" xr3:uid="{BA80A7EE-AD0E-46FC-9051-7C561308C2B7}" name="10/31/2025" dataDxfId="473"/>
    <tableColumn id="6" xr3:uid="{BD20332C-A16F-4920-ACFE-9B324A39BC9A}" name="11/7/2025" dataDxfId="472"/>
    <tableColumn id="7" xr3:uid="{065CB7BC-E932-414C-B50A-1788E32FD27A}" name="11/14/2025" dataDxfId="471"/>
    <tableColumn id="8" xr3:uid="{19E3E6C7-90EF-49DC-8D89-6D7C5A8D3DB5}" name="11/21/2025" dataDxfId="470"/>
    <tableColumn id="9" xr3:uid="{2A5C31A7-384C-4F14-8392-8FEEFA86EC5E}" name="11/28/2025" dataDxfId="469"/>
    <tableColumn id="10" xr3:uid="{AD824453-5768-4594-ABFB-211316310359}" name="12/5/2025" dataDxfId="468"/>
    <tableColumn id="11" xr3:uid="{08EE2803-92B8-470D-984C-B38C3A698BC9}" name="12/12/2025" dataDxfId="467"/>
    <tableColumn id="12" xr3:uid="{40D9E102-988A-4D22-8B19-88B1B00F610D}" name="12/19/2025" dataDxfId="466"/>
    <tableColumn id="13" xr3:uid="{50047916-43FC-4EBC-9DF0-5ADAFD295DE1}" name="12/26/2025" dataDxfId="465"/>
    <tableColumn id="14" xr3:uid="{07862D77-F99A-405F-9127-9E9AE0FC6BDA}" name="1/2/2026" dataDxfId="464"/>
    <tableColumn id="15" xr3:uid="{841631FB-1943-4A2C-ADFA-05862BFF557F}" name="1/9/2026" dataDxfId="463"/>
    <tableColumn id="16" xr3:uid="{EE1AD1B5-640D-4376-9135-99CB77AF30BF}" name="1/16/2026" dataDxfId="462"/>
    <tableColumn id="17" xr3:uid="{4E1BFAEC-6492-436C-823B-29F506E77B0E}" name="1/23/2026" dataDxfId="461"/>
    <tableColumn id="18" xr3:uid="{0EDFEB77-E3B3-4F58-A0A1-FF99FF7A6136}" name="1/30/2026" dataDxfId="460"/>
    <tableColumn id="19" xr3:uid="{C3846098-10DA-4E4D-A3F4-0E746CBFD96B}" name="2/6/2026" dataDxfId="459"/>
    <tableColumn id="20" xr3:uid="{2ADB35EC-E9A6-4EAC-AABA-A314730AC01D}" name="2/13/2026" dataDxfId="458"/>
    <tableColumn id="21" xr3:uid="{514B501F-898B-4DD9-95CD-B73A2DCC534D}" name="2/20/2026" dataDxfId="457"/>
    <tableColumn id="22" xr3:uid="{A62F1636-6617-4E97-9CC2-088CAF48B43D}" name="2/27/2026" dataDxfId="456"/>
    <tableColumn id="23" xr3:uid="{25CE59A8-BE72-4ADD-BD1D-65CF16891E1D}" name="3/13/2026" dataDxfId="455"/>
    <tableColumn id="24" xr3:uid="{1CED1058-8F3B-4AD4-BF96-E5ACD0EA7A1D}" name="3/20/2026" dataDxfId="454"/>
    <tableColumn id="25" xr3:uid="{E84BB93E-435D-4061-95A3-CA4B3F76F980}" name="3/27/2026" dataDxfId="453"/>
    <tableColumn id="26" xr3:uid="{214735A6-38A5-48BD-958E-4B8DC0E727C7}" name="4/3/2026" dataDxfId="452"/>
    <tableColumn id="27" xr3:uid="{DEC47D76-EBF6-4CB7-995F-D3490EF43C45}" name="4/10/2026" dataDxfId="451"/>
    <tableColumn id="28" xr3:uid="{13D60296-4675-4CCE-B1B0-AE7899745062}" name="4/17/2026" dataDxfId="450"/>
    <tableColumn id="29" xr3:uid="{D01ACAB1-3F67-4E99-9AE0-D0B523256AE5}" name="4/24/2026" dataDxfId="449"/>
    <tableColumn id="30" xr3:uid="{3BEAAF82-7288-F14A-B563-1D6D1CBB69D0}" name="5/1/2026" dataDxfId="448"/>
    <tableColumn id="31" xr3:uid="{D3B55B38-2E98-7E40-A2C6-7AB3A89BC10F}" name="5/8/2026" dataDxfId="447"/>
    <tableColumn id="32" xr3:uid="{39E497A9-B254-E941-B21B-E86C84B9A2B8}" name="5/15/2026" dataDxfId="446"/>
    <tableColumn id="33" xr3:uid="{DDFB7444-7728-7042-A00D-3A3540864F9E}" name="5/22/2026" dataDxfId="445"/>
    <tableColumn id="34" xr3:uid="{4B61240D-8A1C-624C-B5EE-8437400413D9}" name="05/29/2026" dataDxfId="444"/>
    <tableColumn id="35" xr3:uid="{A53A592E-007D-1D40-85CA-A88A767B76FD}" name="6/5/2026" dataDxfId="443"/>
    <tableColumn id="36" xr3:uid="{D71D4E72-B005-C646-A3A0-3EC3AB81C02D}" name="6/12/2026" dataDxfId="442"/>
    <tableColumn id="37" xr3:uid="{F15BB02B-EFE1-DD4F-A987-8AC1BF02C63A}" name="6/19/2026" dataDxfId="441"/>
    <tableColumn id="38" xr3:uid="{28AACD7A-85D2-2342-8754-F5FF1D4196FF}" name="6/26/2026" dataDxfId="440"/>
  </tableColumns>
  <tableStyleInfo name="TableStyleLight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C1FD071-0F95-4F59-A8B9-B0FB700B3267}" name="Table11012161820222426" displayName="Table11012161820222426" ref="A210:AL211" totalsRowShown="0" headerRowDxfId="439" dataDxfId="438" tableBorderDxfId="437">
  <autoFilter ref="A210:AL211" xr:uid="{63CF7AF0-AB99-4A18-9A12-F743EE842F1E}"/>
  <tableColumns count="38">
    <tableColumn id="1" xr3:uid="{DD73B35C-976C-40A4-9053-5C69C23538C9}" name="Placement" dataDxfId="436"/>
    <tableColumn id="2" xr3:uid="{D81949DA-77A1-4BC3-904F-AEBA0CC51ED7}" name="10/13/2025" dataDxfId="435"/>
    <tableColumn id="3" xr3:uid="{DDB67C16-FF3C-4377-BA21-1BCB5FD79FA9}" name="10/17/2025" dataDxfId="434"/>
    <tableColumn id="4" xr3:uid="{99DA30DB-61A4-4755-8951-3EB003B63915}" name="10/24/2025" dataDxfId="433"/>
    <tableColumn id="5" xr3:uid="{9EFB5D21-AEC1-4C88-A716-C7C029C9F0A8}" name="10/31/2025" dataDxfId="432"/>
    <tableColumn id="6" xr3:uid="{E16B6006-4FF8-4F64-91D4-E845F1843C0E}" name="11/7/2025" dataDxfId="431"/>
    <tableColumn id="7" xr3:uid="{FE6B2FD3-A633-4690-9F6B-A843B419DAB1}" name="11/14/2025" dataDxfId="430"/>
    <tableColumn id="8" xr3:uid="{1A787874-76D3-4747-8439-0487506C8BDF}" name="11/21/2025" dataDxfId="429"/>
    <tableColumn id="9" xr3:uid="{89861758-6DBC-45CE-8156-81BF6DDB365C}" name="11/28/2025" dataDxfId="428"/>
    <tableColumn id="10" xr3:uid="{7FD8E898-B63A-4B56-A24D-A5D7EDAE76BD}" name="12/5/2025" dataDxfId="427"/>
    <tableColumn id="11" xr3:uid="{5DAB14FB-061D-4415-B4BB-6B0519EC2144}" name="12/12/2025" dataDxfId="426"/>
    <tableColumn id="12" xr3:uid="{ACC23D33-16C8-4B0E-97ED-9CE868A2D571}" name="12/19/2025" dataDxfId="425"/>
    <tableColumn id="13" xr3:uid="{53574083-9551-46DE-847C-E321D6A4329F}" name="12/26/2025" dataDxfId="424"/>
    <tableColumn id="14" xr3:uid="{72A27080-2694-43C6-B6BD-0194B321EBFF}" name="1/2/2026" dataDxfId="423"/>
    <tableColumn id="15" xr3:uid="{4CC8FFEA-D554-494B-803D-294902DC989D}" name="1/9/2026" dataDxfId="422"/>
    <tableColumn id="16" xr3:uid="{58A76DC3-B342-4837-B786-84EC538075EA}" name="1/16/2026" dataDxfId="421"/>
    <tableColumn id="17" xr3:uid="{BD67D347-C259-4586-93B4-290748F6A6A3}" name="1/23/2026" dataDxfId="420"/>
    <tableColumn id="18" xr3:uid="{7898E9FF-1E2D-4842-AA43-44AA98D92AC3}" name="1/30/2026" dataDxfId="419"/>
    <tableColumn id="19" xr3:uid="{11091FCD-BBE0-46FE-A863-56B08093B859}" name="2/6/2026" dataDxfId="418"/>
    <tableColumn id="20" xr3:uid="{B03A9C2B-24B6-40A9-A374-37644B667C36}" name="2/13/2026" dataDxfId="417"/>
    <tableColumn id="21" xr3:uid="{38685A72-4667-4B11-84AF-D006220CA34F}" name="2/20/2026" dataDxfId="416"/>
    <tableColumn id="22" xr3:uid="{F34EDB10-CC2D-4BD5-AA92-6AF127A6ABC6}" name="2/27/2026" dataDxfId="415"/>
    <tableColumn id="23" xr3:uid="{64C9ED7D-D352-4B50-9392-0ACC562FF039}" name="3/13/2026" dataDxfId="414"/>
    <tableColumn id="24" xr3:uid="{50A3BFCF-0EE4-4B11-BE85-B904341E6A80}" name="3/20/2026" dataDxfId="413"/>
    <tableColumn id="25" xr3:uid="{C3093F7F-3391-4747-982E-D25CCF0FBD0C}" name="3/27/2026" dataDxfId="412"/>
    <tableColumn id="26" xr3:uid="{F7D13930-0429-4337-B517-F62DA54C175C}" name="4/3/2026" dataDxfId="411"/>
    <tableColumn id="27" xr3:uid="{94875097-8D0B-4721-AD2F-E350FA5C23A2}" name="4/10/2026" dataDxfId="410"/>
    <tableColumn id="28" xr3:uid="{1BF2E1C5-3B02-4CE5-9A38-C5B8DDAC4117}" name="4/17/2026" dataDxfId="409"/>
    <tableColumn id="29" xr3:uid="{9A80DBBA-BDBC-4F4B-A4B1-F93B338FDF66}" name="4/24/2026" dataDxfId="408"/>
    <tableColumn id="30" xr3:uid="{14B26E23-7FC5-7940-A8DA-B5D42B73BA76}" name="5/1/2026" dataDxfId="407"/>
    <tableColumn id="31" xr3:uid="{E043B30B-A0FF-CC49-9886-D3D6479D6A42}" name="5/8/2026" dataDxfId="406"/>
    <tableColumn id="32" xr3:uid="{D69464CA-34E6-2940-8EDE-2B35E668358E}" name="5/15/2026" dataDxfId="405"/>
    <tableColumn id="33" xr3:uid="{88C8441B-EB55-974A-9BB9-5B69EDFA34E7}" name="5/22/2026" dataDxfId="404"/>
    <tableColumn id="34" xr3:uid="{4BB93944-48DA-9E4B-986E-0BF704F44FBC}" name="05/29/2026" dataDxfId="403"/>
    <tableColumn id="35" xr3:uid="{FE40FE4F-AD14-934B-8AB9-A88EF66938D8}" name="6/5/2026" dataDxfId="402"/>
    <tableColumn id="36" xr3:uid="{DC00B7F0-61B9-D641-8F15-BC815CB471F8}" name="6/12/2026" dataDxfId="401"/>
    <tableColumn id="37" xr3:uid="{1D6BF2BF-FF8B-2048-B354-180BCD7A41A4}" name="6/19/2026" dataDxfId="400"/>
    <tableColumn id="38" xr3:uid="{38653FD1-0709-5942-9F92-10651118C375}" name="6/26/2026" dataDxfId="399"/>
  </tableColumns>
  <tableStyleInfo name="TableStyleLight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1F3A90D6-55CD-49F5-82B7-35AA3850891F}" name="Table21113171921232527" displayName="Table21113171921232527" ref="A213:AL224" totalsRowShown="0" headerRowDxfId="398" dataDxfId="397" tableBorderDxfId="396">
  <autoFilter ref="A213:AL224" xr:uid="{0438CA60-DD76-4136-BC18-AD22F5B6EB0C}"/>
  <tableColumns count="38">
    <tableColumn id="1" xr3:uid="{F6960B4B-F47C-42A4-B06F-F06EBB84A538}" name="Job Search Status" dataDxfId="395"/>
    <tableColumn id="2" xr3:uid="{4152D704-87FD-4D21-8107-16F1389131C8}" name="10/13/2025" dataDxfId="394"/>
    <tableColumn id="3" xr3:uid="{9F97F1FE-0C33-4740-A426-29D9D44FE6F2}" name="10/17/2025" dataDxfId="393"/>
    <tableColumn id="4" xr3:uid="{032529BE-C992-49DB-AFA1-8B6DFCC277DB}" name="10/24/2025" dataDxfId="392"/>
    <tableColumn id="5" xr3:uid="{2492A73B-8CD2-4DF5-944A-FB7DB410AA5F}" name="10/31/2025" dataDxfId="391"/>
    <tableColumn id="6" xr3:uid="{8B0D042B-93D9-4704-9790-010FA7F91E8E}" name="11/7/2025" dataDxfId="390"/>
    <tableColumn id="7" xr3:uid="{85A599D1-4EF4-4049-8864-9BD01E990278}" name="11/14/2025" dataDxfId="389"/>
    <tableColumn id="8" xr3:uid="{D745710E-2B85-44DE-A765-BDE2516AF27B}" name="11/21/2025" dataDxfId="388"/>
    <tableColumn id="9" xr3:uid="{3B8FB724-2D23-44B3-8F0D-3A8CD27C0149}" name="11/28/2025" dataDxfId="387"/>
    <tableColumn id="10" xr3:uid="{560C52E7-A59D-453B-997C-A5677F2A2812}" name="12/5/2025" dataDxfId="386"/>
    <tableColumn id="11" xr3:uid="{39C6214F-7392-4619-8889-C597B77CAC7E}" name="12/12/2025" dataDxfId="385"/>
    <tableColumn id="12" xr3:uid="{A4398B15-5775-4327-9D8E-A49DEFC32162}" name="12/19/2025" dataDxfId="384"/>
    <tableColumn id="13" xr3:uid="{FCC28720-C6A3-42D5-8660-D94FC9B9A8DD}" name="12/26/2025" dataDxfId="383"/>
    <tableColumn id="14" xr3:uid="{3919B88F-0058-4F57-89E6-94110AE5A35B}" name="1/2/2026" dataDxfId="382"/>
    <tableColumn id="15" xr3:uid="{2E8C5A5F-1BC9-4A78-9A81-36DD946BED57}" name="1/9/2026" dataDxfId="381"/>
    <tableColumn id="16" xr3:uid="{4036A6E6-BFB8-4663-8A68-0E1ECB3E706E}" name="1/16/2026" dataDxfId="380"/>
    <tableColumn id="17" xr3:uid="{D4889B47-6386-426F-9BB2-70FA7C7C956F}" name="1/23/2026" dataDxfId="379"/>
    <tableColumn id="18" xr3:uid="{76045E2E-18EA-41F9-9CD3-BD5E12D5A70F}" name="1/30/2026" dataDxfId="378"/>
    <tableColumn id="19" xr3:uid="{96C8F0C0-DDFE-4B5F-B8C6-A3CDA4DD40E0}" name="2/6/2026" dataDxfId="377"/>
    <tableColumn id="20" xr3:uid="{253738C8-7367-4CDC-A490-B079390CD350}" name="2/13/2026" dataDxfId="376"/>
    <tableColumn id="21" xr3:uid="{A563B1DD-ABB0-4C70-8EA2-9D3813CE41EA}" name="2/20/2026" dataDxfId="375"/>
    <tableColumn id="22" xr3:uid="{8165FEDB-AFA2-4AF5-A60C-08846C3F8D22}" name="2/27/2026" dataDxfId="374"/>
    <tableColumn id="23" xr3:uid="{7E103507-A9F7-4F38-9B22-1CADF5B54C79}" name="3/13/2026" dataDxfId="373"/>
    <tableColumn id="24" xr3:uid="{3E2E998C-EE15-4098-AB57-59187439D1BF}" name="3/20/2026" dataDxfId="372"/>
    <tableColumn id="25" xr3:uid="{7084D52A-09B2-44D3-A5AC-E699D8F558B7}" name="3/27/2026" dataDxfId="371"/>
    <tableColumn id="26" xr3:uid="{9DD9A3A0-0BE1-46D4-86D0-16A7CA792F6F}" name="4/3/2026" dataDxfId="370"/>
    <tableColumn id="27" xr3:uid="{2A935CB0-1B12-40D0-91AF-34B6ED3282E3}" name="4/10/2026" dataDxfId="369"/>
    <tableColumn id="28" xr3:uid="{6ABE2D79-738F-481E-86BC-7272CF78AC0F}" name="4/17/2026" dataDxfId="368"/>
    <tableColumn id="29" xr3:uid="{101E45C8-71CA-4851-BB3F-72173DE84613}" name="4/24/2026" dataDxfId="367"/>
    <tableColumn id="30" xr3:uid="{533C6E71-07E4-3C4A-9815-F427B1DE2F4E}" name="5/1/2026" dataDxfId="366"/>
    <tableColumn id="31" xr3:uid="{881D8B1E-566F-6C41-AFB9-49641F83B763}" name="5/8/2026" dataDxfId="365"/>
    <tableColumn id="32" xr3:uid="{1D979D72-891E-3149-912F-999481775275}" name="5/15/2026" dataDxfId="364"/>
    <tableColumn id="33" xr3:uid="{770CA157-684D-8047-82E2-6BA28E4B382A}" name="5/22/2026" dataDxfId="363"/>
    <tableColumn id="34" xr3:uid="{EE9D7345-0419-E947-9518-98DB69AD169B}" name="05/29/2026" dataDxfId="362"/>
    <tableColumn id="35" xr3:uid="{BC424583-A053-6743-8D52-7305B08D4980}" name="6/5/2026" dataDxfId="361"/>
    <tableColumn id="36" xr3:uid="{747AEF3A-2F06-BD42-B7A4-A1F3B615F529}" name="6/12/2026" dataDxfId="360"/>
    <tableColumn id="37" xr3:uid="{74713795-871C-CC41-9DED-D4B0B24A3223}" name="6/19/2026" dataDxfId="359"/>
    <tableColumn id="38" xr3:uid="{F8DAF092-68E5-B742-B233-3E4A10A934EF}" name="6/26/2026" dataDxfId="358"/>
  </tableColumns>
  <tableStyleInfo name="TableStyleLight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74AC7C33-7AA3-4275-B6D0-E2B832D9C6DD}" name="Table1101216182022242628" displayName="Table1101216182022242628" ref="A227:AL228" totalsRowShown="0" headerRowDxfId="357" dataDxfId="356" tableBorderDxfId="355">
  <autoFilter ref="A227:AL228" xr:uid="{63CF7AF0-AB99-4A18-9A12-F743EE842F1E}"/>
  <tableColumns count="38">
    <tableColumn id="1" xr3:uid="{F26B56AC-A800-4D04-AE68-66A0D80E7BD8}" name="Placement" dataDxfId="354"/>
    <tableColumn id="2" xr3:uid="{DB779CF9-07C1-452B-8C60-027637530E3F}" name="10/13/2025" dataDxfId="353"/>
    <tableColumn id="3" xr3:uid="{4BC23AC5-AF28-4E03-BCE6-E31F5BEAC821}" name="10/17/2025" dataDxfId="352"/>
    <tableColumn id="4" xr3:uid="{EE34597E-3723-4E7B-88A5-1504AA97180F}" name="10/24/2025" dataDxfId="351"/>
    <tableColumn id="5" xr3:uid="{C0029BBF-3E02-4E8D-AA2B-98F46331833E}" name="10/31/2025" dataDxfId="350"/>
    <tableColumn id="6" xr3:uid="{9B3714A6-2D86-45CE-A119-61A0223446F3}" name="11/7/2025" dataDxfId="349"/>
    <tableColumn id="7" xr3:uid="{8A963ADE-6CA4-41B6-93C6-B6D4A65B5BBA}" name="11/14/2025" dataDxfId="348"/>
    <tableColumn id="8" xr3:uid="{0B4297E8-4120-4333-B475-D81BF9CDD06D}" name="11/21/2025" dataDxfId="347"/>
    <tableColumn id="9" xr3:uid="{AB6FCB37-7765-40E5-8FD8-CB70DFDF958A}" name="11/28/2025" dataDxfId="346"/>
    <tableColumn id="10" xr3:uid="{FACEA13B-A20C-407F-A81B-0D4DBB19EB12}" name="12/5/2025" dataDxfId="345"/>
    <tableColumn id="11" xr3:uid="{D18F8E0C-A5D7-4BD1-9B22-BC732F88BDFC}" name="12/12/2025" dataDxfId="344"/>
    <tableColumn id="12" xr3:uid="{131729C2-06B5-4C02-AB39-71CC1410A0EE}" name="12/19/2025" dataDxfId="343"/>
    <tableColumn id="13" xr3:uid="{5EB3EDDD-B186-4526-9202-E0D9A0EB2DC1}" name="12/26/2025" dataDxfId="342"/>
    <tableColumn id="14" xr3:uid="{74B722D9-340E-4C65-A801-5F96F75E9BF7}" name="1/2/2026" dataDxfId="341"/>
    <tableColumn id="15" xr3:uid="{72646ACC-A769-49EC-A951-D022842B5185}" name="1/9/2026" dataDxfId="340"/>
    <tableColumn id="16" xr3:uid="{9364FEE2-A97B-4C68-B7A8-4C69099075D1}" name="1/16/2026" dataDxfId="339"/>
    <tableColumn id="17" xr3:uid="{DBCCB490-C44E-463B-9C76-8A60377BC8BF}" name="1/23/2026" dataDxfId="338"/>
    <tableColumn id="18" xr3:uid="{D8FC9A3D-BCAF-4FBA-BBAB-D7D8DE8C41FE}" name="1/30/2026" dataDxfId="337"/>
    <tableColumn id="19" xr3:uid="{16AF0728-80DE-41DF-9267-7225B126663E}" name="2/6/2026" dataDxfId="336"/>
    <tableColumn id="20" xr3:uid="{51D3E05C-35B9-4D7F-A633-EE2C56561A57}" name="2/13/2026" dataDxfId="335"/>
    <tableColumn id="21" xr3:uid="{2FC9CB12-E5D9-488A-BEDB-4E6FCDD0F1A8}" name="2/20/2026" dataDxfId="334"/>
    <tableColumn id="22" xr3:uid="{BF57FE0D-748C-470C-BB51-11551D9BC394}" name="2/27/2026" dataDxfId="333"/>
    <tableColumn id="23" xr3:uid="{3A359F06-1417-4913-9DF9-FA306835FDB8}" name="3/13/2026" dataDxfId="332"/>
    <tableColumn id="24" xr3:uid="{991A6F54-88C6-4974-870F-3DBDCE76737D}" name="3/20/2026" dataDxfId="331"/>
    <tableColumn id="25" xr3:uid="{E1B9AC6A-A3F4-4067-B67E-D85C3BA26E32}" name="3/27/2026" dataDxfId="330"/>
    <tableColumn id="26" xr3:uid="{B7375952-AABF-4119-90F6-D4CEA7B338BB}" name="4/3/2026" dataDxfId="329"/>
    <tableColumn id="27" xr3:uid="{A930B9DA-7651-41D7-AD9F-28305721CCF1}" name="4/10/2026" dataDxfId="328"/>
    <tableColumn id="28" xr3:uid="{70A13ECF-58A1-48E2-A180-97D78AF1CD9E}" name="4/17/2026" dataDxfId="327"/>
    <tableColumn id="29" xr3:uid="{92CE4C2A-3531-4BC3-AD85-6CC66C49E316}" name="4/24/2026" dataDxfId="326"/>
    <tableColumn id="30" xr3:uid="{834D3DE6-80C2-474E-8C00-870269564D0F}" name="5/1/2026" dataDxfId="325"/>
    <tableColumn id="31" xr3:uid="{D4A65493-D4A7-8F4D-A526-6D74B77F0365}" name="5/8/2026" dataDxfId="324"/>
    <tableColumn id="32" xr3:uid="{D7E5CA80-B70D-1340-B490-7A28ADDAF18B}" name="5/15/2026" dataDxfId="323"/>
    <tableColumn id="33" xr3:uid="{85C9219C-7F8E-0D4F-BF81-0482928A1CE2}" name="5/22/2026" dataDxfId="322"/>
    <tableColumn id="34" xr3:uid="{5E7B2E41-5C86-134D-915B-CCF27F0D9980}" name="05/29/2026" dataDxfId="321"/>
    <tableColumn id="35" xr3:uid="{7908603D-95BB-D34F-B5EB-D62E1AE004A0}" name="6/5/2026" dataDxfId="320"/>
    <tableColumn id="36" xr3:uid="{FA0B598A-AD79-124F-A244-960A072DC77A}" name="6/12/2026" dataDxfId="319"/>
    <tableColumn id="37" xr3:uid="{E0AB63D2-5046-E241-9557-4EFBEEFB44B0}" name="6/19/2026" dataDxfId="318"/>
    <tableColumn id="38" xr3:uid="{D9983F5E-EBAD-0142-9BC8-D6B0B1F03FDE}" name="6/26/2026" dataDxfId="317"/>
  </tableColumns>
  <tableStyleInfo name="TableStyleLight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AFDCF249-AE17-4FFC-BD07-BA36BF0670AD}" name="Table2111317192123252729" displayName="Table2111317192123252729" ref="A230:AL241" totalsRowShown="0" headerRowDxfId="316" dataDxfId="315" tableBorderDxfId="314">
  <autoFilter ref="A230:AL241" xr:uid="{0438CA60-DD76-4136-BC18-AD22F5B6EB0C}"/>
  <tableColumns count="38">
    <tableColumn id="1" xr3:uid="{77FC5072-47E4-4B27-AD95-266F01455E82}" name="Job Search Status" dataDxfId="313"/>
    <tableColumn id="2" xr3:uid="{8D36166C-0B5E-47E1-A2F2-573B761B4814}" name="10/13/2025" dataDxfId="312"/>
    <tableColumn id="3" xr3:uid="{BCDD8D41-83E8-4D15-9B2E-72E0FD28E02E}" name="10/17/2025" dataDxfId="311"/>
    <tableColumn id="4" xr3:uid="{0A3C7D73-5DFE-43E5-B5FB-D961E451BA62}" name="10/24/2025" dataDxfId="310"/>
    <tableColumn id="5" xr3:uid="{1AA4236C-B7B0-40E5-811F-256AA2C8D7E8}" name="10/31/2025" dataDxfId="309"/>
    <tableColumn id="6" xr3:uid="{788FB95B-1075-4F4F-9311-035DFA74B106}" name="11/7/2025" dataDxfId="308"/>
    <tableColumn id="7" xr3:uid="{56B840CE-679B-4901-892D-82061AC83676}" name="11/14/2025" dataDxfId="307"/>
    <tableColumn id="8" xr3:uid="{B08E63F1-C803-4CD5-9AF8-043FF3FA944A}" name="11/21/2025" dataDxfId="306"/>
    <tableColumn id="9" xr3:uid="{EB6838AC-8547-411D-83B0-18D4E52696AB}" name="11/28/2025" dataDxfId="305"/>
    <tableColumn id="10" xr3:uid="{6F3D8E03-9ABC-42E9-B67C-5338BED9E0BB}" name="12/5/2025" dataDxfId="304"/>
    <tableColumn id="11" xr3:uid="{4404E12D-FAA6-43B8-8820-07E7E3B6BAE0}" name="12/12/2025" dataDxfId="303"/>
    <tableColumn id="12" xr3:uid="{9E2D5E48-1DF8-4C83-AE44-49F317E82AAC}" name="12/19/2025" dataDxfId="302"/>
    <tableColumn id="13" xr3:uid="{B416A4CF-9815-4F3B-A101-C13704A723B6}" name="12/26/2025" dataDxfId="301"/>
    <tableColumn id="14" xr3:uid="{EE8CFBD9-506F-4811-8E01-5D8D269F797E}" name="1/2/2026" dataDxfId="300"/>
    <tableColumn id="15" xr3:uid="{249B97FC-796F-4C73-A5BA-E8C6D815D6D6}" name="1/9/2026" dataDxfId="299"/>
    <tableColumn id="16" xr3:uid="{A5B25761-3829-4A12-9FA3-5509C9F08981}" name="1/16/2026" dataDxfId="298"/>
    <tableColumn id="17" xr3:uid="{33A09DDB-8A0A-4CB5-9B80-8A1BE5AD145E}" name="1/23/2026" dataDxfId="297"/>
    <tableColumn id="18" xr3:uid="{980B0334-E5D4-4390-86F8-5FA71345966F}" name="1/30/2026" dataDxfId="296"/>
    <tableColumn id="19" xr3:uid="{422A04C8-8F7D-4A91-B120-D75171659545}" name="2/6/2026" dataDxfId="295"/>
    <tableColumn id="20" xr3:uid="{17E3A10E-6329-44E8-AB4C-89500BB08375}" name="2/13/2026" dataDxfId="294"/>
    <tableColumn id="21" xr3:uid="{F2893B40-63B1-434F-A069-508B9C1A76EE}" name="2/20/2026" dataDxfId="293"/>
    <tableColumn id="22" xr3:uid="{2243BC4F-CCC2-453B-93D7-D4F8C2DD6904}" name="2/27/2026" dataDxfId="292"/>
    <tableColumn id="23" xr3:uid="{556B3D51-4C1D-4436-8C67-84A3D47AE667}" name="3/13/2026" dataDxfId="291"/>
    <tableColumn id="24" xr3:uid="{2F4EC792-4289-4723-9ECE-A4E9391A9852}" name="3/20/2026" dataDxfId="290"/>
    <tableColumn id="25" xr3:uid="{17D6ACDB-FBAF-4EFE-B9AA-723B2940590B}" name="3/27/2026" dataDxfId="289"/>
    <tableColumn id="26" xr3:uid="{001EECAB-F6F9-49B9-AB77-5D82D0420FD1}" name="4/3/2026" dataDxfId="288"/>
    <tableColumn id="27" xr3:uid="{1C9AD5B1-687E-482A-8B70-F9D2C35ECC05}" name="4/10/2026" dataDxfId="287"/>
    <tableColumn id="28" xr3:uid="{5B2B9870-40F5-448A-823F-4A1EEB310EE5}" name="4/17/2026" dataDxfId="286"/>
    <tableColumn id="29" xr3:uid="{16407E32-5A28-4C1D-801C-CD372AEB012F}" name="4/24/2026" dataDxfId="285"/>
    <tableColumn id="30" xr3:uid="{E0879034-6122-504D-9D13-B7EB25739F3D}" name="5/1/2026" dataDxfId="284"/>
    <tableColumn id="31" xr3:uid="{3CD41899-7F71-FD49-8D23-DE01BD11C62B}" name="5/8/2026" dataDxfId="283"/>
    <tableColumn id="32" xr3:uid="{CFC214E1-08B7-4F4B-898B-937AC933C1EC}" name="5/15/2026" dataDxfId="282"/>
    <tableColumn id="33" xr3:uid="{52BC961C-D493-9B40-82FE-8CEEB3AE7EF9}" name="5/22/2026" dataDxfId="281"/>
    <tableColumn id="34" xr3:uid="{422FF8ED-457E-3D44-B8F6-4EBDE2C45837}" name="05/29/2026" dataDxfId="280"/>
    <tableColumn id="35" xr3:uid="{7896D6D6-4FC9-E746-BA7E-E953F0D613B3}" name="6/5/2026" dataDxfId="279"/>
    <tableColumn id="36" xr3:uid="{8E1CF08C-A660-2249-B3EC-0B67367E1FF4}" name="6/12/2026" dataDxfId="278"/>
    <tableColumn id="37" xr3:uid="{5AD58A05-CF58-E34A-BEBD-54F472A46308}" name="6/19/2026" dataDxfId="277"/>
    <tableColumn id="38" xr3:uid="{4187AB80-D31C-3445-8C39-EB7D421A975B}" name="6/26/2026" dataDxfId="276"/>
  </tableColumns>
  <tableStyleInfo name="TableStyleLight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F9ED8599-183D-48B3-B6D9-CF6723D936D2}" name="Table110121618202224262830" displayName="Table110121618202224262830" ref="A244:AL245" totalsRowShown="0" headerRowDxfId="275" dataDxfId="274" tableBorderDxfId="273">
  <autoFilter ref="A244:AL245" xr:uid="{63CF7AF0-AB99-4A18-9A12-F743EE842F1E}"/>
  <tableColumns count="38">
    <tableColumn id="1" xr3:uid="{537B50DD-C6B6-47F0-A2F9-939A1B3FA395}" name="Placement" dataDxfId="272"/>
    <tableColumn id="2" xr3:uid="{045C4ED1-E87B-45CB-A631-5F18DC2EC679}" name="10/13/2025" dataDxfId="271"/>
    <tableColumn id="3" xr3:uid="{7A191169-E61D-49B6-AFF2-952E44AB2B49}" name="10/17/2025" dataDxfId="270"/>
    <tableColumn id="4" xr3:uid="{0A8F849A-849B-4881-B423-BE080454E2BA}" name="10/24/2025" dataDxfId="269"/>
    <tableColumn id="5" xr3:uid="{FD168F06-93BF-4FDB-9FFD-94E84D0CB7DE}" name="10/31/2025" dataDxfId="268"/>
    <tableColumn id="6" xr3:uid="{C23D8D24-F9CF-4854-9163-1CE88325F9C0}" name="11/7/2025" dataDxfId="267"/>
    <tableColumn id="7" xr3:uid="{8DCDF754-F767-40BB-8C4F-ED691D62080E}" name="11/14/2025" dataDxfId="266"/>
    <tableColumn id="8" xr3:uid="{21614AA1-375F-4188-BBDE-D5A0F494A8CA}" name="11/21/2025" dataDxfId="265"/>
    <tableColumn id="9" xr3:uid="{EA41503E-8B72-47F4-8B5A-7A5E6BB93CB1}" name="11/28/2025" dataDxfId="264"/>
    <tableColumn id="10" xr3:uid="{E50A4227-7445-4B1A-ACE6-888D4F47212D}" name="12/5/2025" dataDxfId="263"/>
    <tableColumn id="11" xr3:uid="{CDDAA251-1413-4158-B21B-3019A1187622}" name="12/12/2025" dataDxfId="262"/>
    <tableColumn id="12" xr3:uid="{296B0EEA-E3DC-4364-AC6E-341BD7067860}" name="12/19/2025" dataDxfId="261"/>
    <tableColumn id="13" xr3:uid="{16B64A74-921C-447B-9442-B8D0216F0DE4}" name="12/26/2025" dataDxfId="260"/>
    <tableColumn id="14" xr3:uid="{2FFEF051-A269-442F-9C61-AE087D29EE36}" name="1/2/2026" dataDxfId="259"/>
    <tableColumn id="15" xr3:uid="{7CABEC81-68B1-4A41-9DE0-2B5A203F7A2C}" name="1/9/2026" dataDxfId="258"/>
    <tableColumn id="16" xr3:uid="{899820E9-CCA9-4F51-B7AE-95ACE7670329}" name="1/16/2026" dataDxfId="257"/>
    <tableColumn id="17" xr3:uid="{6884D41F-4C5C-4CEC-B2DB-41860894A7DE}" name="1/23/2026" dataDxfId="256"/>
    <tableColumn id="18" xr3:uid="{275C2197-DB8E-4A15-B46A-7025EDB0D1B0}" name="1/30/2026" dataDxfId="255"/>
    <tableColumn id="19" xr3:uid="{CF0DC812-2444-4443-AC82-6A2EB6C062B5}" name="2/6/2026" dataDxfId="254"/>
    <tableColumn id="20" xr3:uid="{D2BCB5B3-7FA2-424B-B4A9-F5EED6800EB2}" name="2/13/2026" dataDxfId="253"/>
    <tableColumn id="21" xr3:uid="{A6F94C1C-D134-4DE5-8545-D550765B9356}" name="2/20/2026" dataDxfId="252"/>
    <tableColumn id="22" xr3:uid="{A20A3B4B-AE8B-42C5-9FC6-129F006E8406}" name="2/27/2026" dataDxfId="251"/>
    <tableColumn id="23" xr3:uid="{EF8662C8-23A3-4B4A-B550-1C2946DF2D7D}" name="3/13/2026" dataDxfId="250"/>
    <tableColumn id="24" xr3:uid="{912E54E9-E41E-4D9E-A771-B1D72B5D73B5}" name="3/20/2026" dataDxfId="249"/>
    <tableColumn id="25" xr3:uid="{CA1C94BA-4DC7-49EA-8B81-A28B5AD07A3F}" name="3/27/2026" dataDxfId="248"/>
    <tableColumn id="26" xr3:uid="{08E471A1-191B-4CA1-9B4A-C3505AFD3C3C}" name="4/3/2026" dataDxfId="247"/>
    <tableColumn id="27" xr3:uid="{4F48E1D1-2567-4DFE-A571-FBC97814611E}" name="4/10/2026" dataDxfId="246"/>
    <tableColumn id="28" xr3:uid="{CE765188-A110-476B-BDAA-4F0ECFB17A0E}" name="4/17/2026" dataDxfId="245"/>
    <tableColumn id="29" xr3:uid="{79A3F8F4-C90A-45CA-8A5A-83C3036A6889}" name="4/24/2026" dataDxfId="244"/>
    <tableColumn id="30" xr3:uid="{2E336540-AD51-6042-8438-FEF6530A10C4}" name="5/1/2026" dataDxfId="243"/>
    <tableColumn id="31" xr3:uid="{7CE58CAD-09A1-884E-9D44-D1BC5DD54A8C}" name="5/8/2026" dataDxfId="242"/>
    <tableColumn id="32" xr3:uid="{EF2F3F51-736F-0046-8FC4-32E7766F7EFA}" name="5/15/2026" dataDxfId="241"/>
    <tableColumn id="33" xr3:uid="{09D05B4D-3D15-D948-BFD1-52DA8E48ADB9}" name="5/22/2026" dataDxfId="240"/>
    <tableColumn id="34" xr3:uid="{18A2A1AA-9429-B74C-91DF-56907B7C6D7D}" name="05/29/2026" dataDxfId="239"/>
    <tableColumn id="35" xr3:uid="{CA417970-9C02-6947-8A62-7EEA7665D28B}" name="6/5/2026" dataDxfId="238"/>
    <tableColumn id="36" xr3:uid="{9E57F5B3-2DFB-3D46-9934-BF60E9F98794}" name="6/12/2026" dataDxfId="237"/>
    <tableColumn id="37" xr3:uid="{3633A76E-E5C1-2742-B38D-8C5E171AC6F1}" name="6/19/2026" dataDxfId="236"/>
    <tableColumn id="38" xr3:uid="{7F642C3D-40D2-D741-9E2B-E1C6F71D74EF}" name="6/26/2026" dataDxfId="235"/>
  </tableColumns>
  <tableStyleInfo name="TableStyleLight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334D07BF-6656-4B47-A314-9A02FD038F28}" name="Table211131719212325272931" displayName="Table211131719212325272931" ref="A247:AL258" totalsRowShown="0" headerRowDxfId="234" dataDxfId="233" tableBorderDxfId="232">
  <autoFilter ref="A247:AL258" xr:uid="{0438CA60-DD76-4136-BC18-AD22F5B6EB0C}"/>
  <tableColumns count="38">
    <tableColumn id="1" xr3:uid="{341C5D2A-70D7-47FD-BB9F-A4E0DCDADE81}" name="Job Search Status" dataDxfId="231"/>
    <tableColumn id="2" xr3:uid="{FE86B7F0-6CE9-4ABA-8073-D8826AD4EDF3}" name="10/13/2025" dataDxfId="230"/>
    <tableColumn id="3" xr3:uid="{6584B93C-C37F-4FC2-82D9-481EEC630845}" name="10/17/2025" dataDxfId="229"/>
    <tableColumn id="4" xr3:uid="{D0F704F4-9496-427F-B43E-27124D209047}" name="10/24/2025" dataDxfId="228"/>
    <tableColumn id="5" xr3:uid="{016358BF-9219-47E5-B96D-CD1041D5AB7A}" name="10/31/2025" dataDxfId="227"/>
    <tableColumn id="6" xr3:uid="{63E646C4-717A-418F-A0F0-782DD6651F18}" name="11/7/2025" dataDxfId="226"/>
    <tableColumn id="7" xr3:uid="{AD2341F3-E956-4796-B88A-AFA998EA1897}" name="11/14/2025" dataDxfId="225"/>
    <tableColumn id="8" xr3:uid="{308368F7-5595-48F4-9D17-3CADF193BBA2}" name="11/21/2025" dataDxfId="224"/>
    <tableColumn id="9" xr3:uid="{86BD8C79-5F84-4FEA-88A6-8B78022CB1F1}" name="11/28/2025" dataDxfId="223"/>
    <tableColumn id="10" xr3:uid="{6009E664-0B83-41EF-8E1F-6A8280DCCD32}" name="12/5/2025" dataDxfId="222"/>
    <tableColumn id="11" xr3:uid="{74BA96AF-8881-4E3B-84B2-4AED8B63ED0F}" name="12/12/2025" dataDxfId="221"/>
    <tableColumn id="12" xr3:uid="{072FBE76-4962-46AF-ABB2-306555A5D724}" name="12/19/2025" dataDxfId="220"/>
    <tableColumn id="13" xr3:uid="{84DD9430-31EB-403B-9EAB-6B2019FCD60C}" name="12/26/2025" dataDxfId="219"/>
    <tableColumn id="14" xr3:uid="{43FF432A-D611-4BAF-8419-56F982765DF3}" name="1/2/2026" dataDxfId="218"/>
    <tableColumn id="15" xr3:uid="{B16CCDC9-34D5-4990-BD09-2C2E462C323C}" name="1/9/2026" dataDxfId="217"/>
    <tableColumn id="16" xr3:uid="{BD87F486-B7F5-4556-9EDF-5E6DFC2B2D90}" name="1/16/2026" dataDxfId="216"/>
    <tableColumn id="17" xr3:uid="{2582167A-D84E-43EC-B846-A32E54051AD6}" name="1/23/2026" dataDxfId="215"/>
    <tableColumn id="18" xr3:uid="{930822A0-9261-415D-A56A-C7988D2C3BAA}" name="1/30/2026" dataDxfId="214"/>
    <tableColumn id="19" xr3:uid="{92AC7125-64BB-44D2-8D0F-20D1D0F91E1C}" name="2/6/2026" dataDxfId="213"/>
    <tableColumn id="20" xr3:uid="{75DB4C91-CE58-4C55-940D-F543666FD448}" name="2/13/2026" dataDxfId="212"/>
    <tableColumn id="21" xr3:uid="{3F1063FF-6DDF-46A2-B805-30E6B46F9D9A}" name="2/20/2026" dataDxfId="211"/>
    <tableColumn id="22" xr3:uid="{BC34555D-854C-451C-934F-ABD1765BCBB4}" name="2/27/2026" dataDxfId="210"/>
    <tableColumn id="23" xr3:uid="{53D3A27D-65C4-4A51-91FE-E3E23BE0F3B1}" name="3/13/2026" dataDxfId="209"/>
    <tableColumn id="24" xr3:uid="{0E3E7691-AC69-4811-B2C4-A6B92246F079}" name="3/20/2026" dataDxfId="208"/>
    <tableColumn id="25" xr3:uid="{EC01EEC4-55D8-4B9E-9E34-49C3712D6A77}" name="3/27/2026" dataDxfId="207"/>
    <tableColumn id="26" xr3:uid="{C3B2DE89-78C4-4CD3-BE00-1648AC885B9A}" name="4/3/2026" dataDxfId="206"/>
    <tableColumn id="27" xr3:uid="{45A10D39-51C1-402A-82DE-B41DC358CC99}" name="4/10/2026" dataDxfId="205"/>
    <tableColumn id="28" xr3:uid="{CB5E3A08-E76F-4BC5-9575-70669727F578}" name="4/17/2026" dataDxfId="204"/>
    <tableColumn id="29" xr3:uid="{ECD87721-FFB6-44ED-B581-67AFA5210B98}" name="4/24/2026" dataDxfId="203"/>
    <tableColumn id="30" xr3:uid="{6A1B3422-DE10-D644-8071-4C8C49256D46}" name="5/1/2026" dataDxfId="202"/>
    <tableColumn id="31" xr3:uid="{41CBDE71-AEDC-0E45-99E9-BE97318C02A8}" name="5/8/2026" dataDxfId="201"/>
    <tableColumn id="32" xr3:uid="{937C18AE-65BE-7846-98E5-3912616778AD}" name="5/15/2026" dataDxfId="200"/>
    <tableColumn id="33" xr3:uid="{CC9C6DDA-D5DF-9642-894B-14264E5A876F}" name="5/22/2026" dataDxfId="199"/>
    <tableColumn id="34" xr3:uid="{8D446990-AB0F-2347-B5C9-655629C67120}" name="05/29/2026" dataDxfId="198"/>
    <tableColumn id="35" xr3:uid="{64BFC596-9771-1849-A2E2-1F271BAEBE1F}" name="6/5/2026" dataDxfId="197"/>
    <tableColumn id="36" xr3:uid="{F39C4C6E-A10A-5448-ADD0-5B7813EEB9AF}" name="6/12/2026" dataDxfId="196"/>
    <tableColumn id="37" xr3:uid="{712D254A-7FEE-7047-944C-D13FA1840614}" name="6/19/2026" dataDxfId="195"/>
    <tableColumn id="38" xr3:uid="{2EA44D5B-73E2-5243-AEC8-4773924222EE}" name="6/26/2026" dataDxfId="194"/>
  </tableColumns>
  <tableStyleInfo name="TableStyleLight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C0A64BE7-B428-4914-A866-5DBE01B92B88}" name="Table11012161820222426283032" displayName="Table11012161820222426283032" ref="A261:AL262" totalsRowShown="0" headerRowDxfId="193" dataDxfId="192" tableBorderDxfId="191">
  <autoFilter ref="A261:AL262" xr:uid="{63CF7AF0-AB99-4A18-9A12-F743EE842F1E}"/>
  <tableColumns count="38">
    <tableColumn id="1" xr3:uid="{190C515F-D588-47B8-BE59-7EA8F0842714}" name="Placement" dataDxfId="190"/>
    <tableColumn id="2" xr3:uid="{BF9E0828-FBEF-4771-AE73-16C74521AFA9}" name="10/13/2025" dataDxfId="189"/>
    <tableColumn id="3" xr3:uid="{4CD7E996-945C-464B-807E-B34BBD3DDCA1}" name="10/17/2025" dataDxfId="188"/>
    <tableColumn id="4" xr3:uid="{983418E7-B3D4-45FA-B11E-B8F8D2B7FD76}" name="10/24/2025" dataDxfId="187"/>
    <tableColumn id="5" xr3:uid="{D15C11AA-B6BF-4B2D-B6E3-7335B213E7DE}" name="10/31/2025" dataDxfId="186"/>
    <tableColumn id="6" xr3:uid="{32048769-D358-499D-B15D-D7B0C249556C}" name="11/7/2025" dataDxfId="185"/>
    <tableColumn id="7" xr3:uid="{A535B841-8841-497F-9A54-0EC689A9D6F3}" name="11/14/2025" dataDxfId="184"/>
    <tableColumn id="8" xr3:uid="{C629ABC4-7379-447C-B2F3-0A3B162FBFB9}" name="11/21/2025" dataDxfId="183"/>
    <tableColumn id="9" xr3:uid="{E70BE90E-A755-47AD-A212-13238761A78C}" name="11/28/2025" dataDxfId="182"/>
    <tableColumn id="10" xr3:uid="{5C57B1A8-E305-4E0A-A2A7-5A9112865ED8}" name="12/5/2025" dataDxfId="181"/>
    <tableColumn id="11" xr3:uid="{37290594-B727-41D1-9375-D610267BA91F}" name="12/12/2025" dataDxfId="180"/>
    <tableColumn id="12" xr3:uid="{6AE4CB3D-1EE8-48C2-A290-76971B805EAD}" name="12/19/2025" dataDxfId="179"/>
    <tableColumn id="13" xr3:uid="{5437A6E6-53B7-4362-804C-B512134FAA3A}" name="12/26/2025" dataDxfId="178"/>
    <tableColumn id="14" xr3:uid="{006C290A-7BA6-4ABE-9238-25529120E6CC}" name="1/2/2026" dataDxfId="177"/>
    <tableColumn id="15" xr3:uid="{97CA5292-01B2-4028-83E1-6DDB1A54A376}" name="1/9/2026" dataDxfId="176"/>
    <tableColumn id="16" xr3:uid="{7DD8CAFE-7698-4574-8824-01400CA7743A}" name="1/16/2026" dataDxfId="175"/>
    <tableColumn id="17" xr3:uid="{698DD93E-3C0B-4038-B53B-9523159079E4}" name="1/23/2026" dataDxfId="174"/>
    <tableColumn id="18" xr3:uid="{954DE49C-E561-4213-9C27-C5523E5A95A0}" name="1/30/2026" dataDxfId="173"/>
    <tableColumn id="19" xr3:uid="{CEAFA5AF-8FF7-40C2-9632-C46F3193337B}" name="2/6/2026" dataDxfId="172"/>
    <tableColumn id="20" xr3:uid="{3714DB28-2B23-4783-A4C5-C2F6346212C0}" name="2/13/2026" dataDxfId="171"/>
    <tableColumn id="21" xr3:uid="{0F190987-250F-4641-BC89-79B1F46FD3AD}" name="2/20/2026" dataDxfId="170"/>
    <tableColumn id="22" xr3:uid="{EB35F68E-5E41-4817-9764-13FF71542C21}" name="2/27/2026" dataDxfId="169"/>
    <tableColumn id="23" xr3:uid="{17069620-7B91-47F8-9799-C0ED31FBD541}" name="3/13/2026" dataDxfId="168"/>
    <tableColumn id="24" xr3:uid="{6E93AB36-EC86-4DAD-8040-3CE4B7023EBE}" name="3/20/2026" dataDxfId="167"/>
    <tableColumn id="25" xr3:uid="{E77C5E9F-9377-47C1-ACD7-C7F4506F5338}" name="3/27/2026" dataDxfId="166"/>
    <tableColumn id="26" xr3:uid="{9A54810C-400A-442B-BD11-08FAF7348732}" name="4/3/2026" dataDxfId="165"/>
    <tableColumn id="27" xr3:uid="{8B94A87B-433B-44F8-80CE-55C374F5E233}" name="4/10/2026" dataDxfId="164"/>
    <tableColumn id="28" xr3:uid="{BA2CDC17-0E4C-4198-A184-6156C0A5AB8E}" name="4/17/2026" dataDxfId="163"/>
    <tableColumn id="29" xr3:uid="{C1B34D76-C400-4234-AE8F-F16D8DA4A5E3}" name="4/24/2026" dataDxfId="162"/>
    <tableColumn id="30" xr3:uid="{07367BFA-0E95-3249-BF0C-371D797D8FD4}" name="5/1/2026" dataDxfId="161"/>
    <tableColumn id="31" xr3:uid="{00682C8E-59F1-3A4F-89E3-AB827E8FEE0F}" name="5/8/2026" dataDxfId="160"/>
    <tableColumn id="32" xr3:uid="{5B3CDE19-2C8C-7648-8131-52F7BEE62428}" name="5/15/2026" dataDxfId="159"/>
    <tableColumn id="33" xr3:uid="{A9B37FED-403A-6748-80D9-5823C4E9B14D}" name="5/22/2026" dataDxfId="158"/>
    <tableColumn id="34" xr3:uid="{AE42D4C3-83F4-A84C-B586-9A662B059FB9}" name="05/29/2026" dataDxfId="157"/>
    <tableColumn id="35" xr3:uid="{4EDA217E-6D9E-F140-A00A-CEFE7072DFDA}" name="6/5/2026" dataDxfId="156"/>
    <tableColumn id="36" xr3:uid="{D4763456-AD7C-884A-8EBA-A2CDCC49E2D5}" name="6/12/2026" dataDxfId="155"/>
    <tableColumn id="37" xr3:uid="{49030554-1016-9F40-9CBA-3779534D85B4}" name="6/19/2026" dataDxfId="154"/>
    <tableColumn id="38" xr3:uid="{C5663E2D-0F27-4647-938F-5238B628814F}" name="6/26/2026" dataDxfId="153"/>
  </tableColumns>
  <tableStyleInfo name="TableStyleLight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868F6B5-2033-470C-9654-D984CA3D3BDC}" name="Table21113171921232527293133" displayName="Table21113171921232527293133" ref="A264:AL275" totalsRowShown="0" headerRowDxfId="152" dataDxfId="151" tableBorderDxfId="150">
  <autoFilter ref="A264:AL275" xr:uid="{0438CA60-DD76-4136-BC18-AD22F5B6EB0C}"/>
  <tableColumns count="38">
    <tableColumn id="1" xr3:uid="{3B457479-BAC2-4BE2-87B7-DA4B2EFCB49D}" name="Job Search Status" dataDxfId="149"/>
    <tableColumn id="2" xr3:uid="{594AAFB0-E298-4632-9615-C24CC9BC137C}" name="10/13/2025" dataDxfId="148"/>
    <tableColumn id="3" xr3:uid="{82ED3440-035F-4C31-BAD9-EB92DD659778}" name="10/17/2025" dataDxfId="147"/>
    <tableColumn id="4" xr3:uid="{A4BFBE32-0D6E-47BC-B41F-752881B2C20E}" name="10/24/2025" dataDxfId="146"/>
    <tableColumn id="5" xr3:uid="{20DA9DBE-363E-4EFF-9962-BEE79F653243}" name="10/31/2025" dataDxfId="145"/>
    <tableColumn id="6" xr3:uid="{2CC27C17-F5EB-41FB-A1E0-7C212390576D}" name="11/7/2025" dataDxfId="144"/>
    <tableColumn id="7" xr3:uid="{031F64C6-8B77-47E6-A758-A3F3506B52EB}" name="11/14/2025" dataDxfId="143"/>
    <tableColumn id="8" xr3:uid="{F7A6D958-8374-4CB2-96B9-FFD63355FC4F}" name="11/21/2025" dataDxfId="142"/>
    <tableColumn id="9" xr3:uid="{529925A8-4E18-4D9F-AA4F-5438CC836786}" name="11/28/2025" dataDxfId="141"/>
    <tableColumn id="10" xr3:uid="{38509CC8-DA79-4970-A243-3D548D154936}" name="12/5/2025" dataDxfId="140"/>
    <tableColumn id="11" xr3:uid="{18400C5D-1FF4-4FB1-8F94-1FB104715904}" name="12/12/2025" dataDxfId="139"/>
    <tableColumn id="12" xr3:uid="{43FF3725-7BCF-4799-AD14-2BD74CABC835}" name="12/19/2025" dataDxfId="138"/>
    <tableColumn id="13" xr3:uid="{FF9C7CEA-5810-45FA-89F0-41B9FC279C4C}" name="12/26/2025" dataDxfId="137"/>
    <tableColumn id="14" xr3:uid="{58C82BC3-47F3-4CCD-8F54-1F5FDFC97BD8}" name="1/2/2026" dataDxfId="136"/>
    <tableColumn id="15" xr3:uid="{8ED8E664-ED49-40FF-8E17-51F46826EA36}" name="1/9/2026" dataDxfId="135"/>
    <tableColumn id="16" xr3:uid="{3AB87708-5C85-4E08-BED2-87DC624DD563}" name="1/16/2026" dataDxfId="134"/>
    <tableColumn id="17" xr3:uid="{E1140AC2-72DD-4150-9703-1D6553F79E06}" name="1/23/2026" dataDxfId="133"/>
    <tableColumn id="18" xr3:uid="{9947CD3A-5596-4538-A9AC-8F18F241651E}" name="1/30/2026" dataDxfId="132"/>
    <tableColumn id="19" xr3:uid="{98703F71-52C0-4F77-8054-A7A520A93D98}" name="2/6/2026" dataDxfId="131"/>
    <tableColumn id="20" xr3:uid="{10E6237F-26D6-4824-A386-A61D29B69632}" name="2/13/2026" dataDxfId="130"/>
    <tableColumn id="21" xr3:uid="{9AAD88B9-449B-4669-AED0-2A8DF5346BE2}" name="2/20/2026" dataDxfId="129"/>
    <tableColumn id="22" xr3:uid="{7422F18E-1C28-4624-8369-A52E2A0983F5}" name="2/27/2026" dataDxfId="128"/>
    <tableColumn id="23" xr3:uid="{1CACA36E-AFD8-412B-B7BF-51B299057FA7}" name="3/13/2026" dataDxfId="127"/>
    <tableColumn id="24" xr3:uid="{50A0E91E-4025-4A20-AF8F-BDC9D8575499}" name="3/20/2026" dataDxfId="126"/>
    <tableColumn id="25" xr3:uid="{49CEF1E7-807E-4820-B62E-D0338CF06426}" name="3/27/2026" dataDxfId="125"/>
    <tableColumn id="26" xr3:uid="{65BAB7A2-28A2-43F7-928B-B2FD48F0AE96}" name="4/3/2026" dataDxfId="124"/>
    <tableColumn id="27" xr3:uid="{93A9ABAC-687D-414D-824C-4618DBAE1119}" name="4/10/2026" dataDxfId="123"/>
    <tableColumn id="28" xr3:uid="{7D576D9B-756D-4C39-A13E-C5F977FF3999}" name="4/17/2026" dataDxfId="122"/>
    <tableColumn id="29" xr3:uid="{D0A127AB-CB24-4A4B-A7E6-FBBEC668FC02}" name="4/24/2026" dataDxfId="121"/>
    <tableColumn id="30" xr3:uid="{0C986467-81D7-3348-B00A-AE3449710A31}" name="5/1/2026" dataDxfId="120"/>
    <tableColumn id="31" xr3:uid="{8A1B8088-2C48-5349-A761-B72BB144738C}" name="5/8/2026" dataDxfId="119"/>
    <tableColumn id="32" xr3:uid="{770BA647-6279-1345-BFB3-0804C697827D}" name="5/15/2026" dataDxfId="118"/>
    <tableColumn id="33" xr3:uid="{AD77D904-5DA4-DA48-A754-2BA43C4343BC}" name="5/22/2026" dataDxfId="117"/>
    <tableColumn id="34" xr3:uid="{CE43C958-2ECE-EB49-88F4-4A6A04D07B56}" name="05/29/2026" dataDxfId="116"/>
    <tableColumn id="35" xr3:uid="{91C573E8-615A-9B40-9FB4-DA9DAC32CC55}" name="6/5/2026" dataDxfId="115"/>
    <tableColumn id="36" xr3:uid="{4D59121E-85E2-3045-A1DE-D32218DF5BCA}" name="6/12/2026" dataDxfId="114"/>
    <tableColumn id="37" xr3:uid="{F5F59C77-612D-324D-A000-CDA136B086C9}" name="6/19/2026" dataDxfId="113"/>
    <tableColumn id="38" xr3:uid="{1814C763-A5C5-8144-AF6E-730E4C916FE9}" name="6/26/2026" dataDxfId="112"/>
  </tableColumns>
  <tableStyleInfo name="TableStyleLight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E8881129-F583-42A7-8455-114F3F7C69C6}" name="Table3741" displayName="Table3741" ref="M24:S38" totalsRowShown="0" dataDxfId="111">
  <autoFilter ref="M24:S38" xr:uid="{94FEF257-0A90-4B66-A089-0FA47FC41378}"/>
  <tableColumns count="7">
    <tableColumn id="1" xr3:uid="{77749437-FF9E-41A2-A1DB-4AC6E3F7CF5C}" name="Month" dataDxfId="110"/>
    <tableColumn id="8" xr3:uid="{B0640A61-705E-46BF-9F5A-866DDC385A6C}" name="2026" dataDxfId="109" dataCellStyle="Percent"/>
    <tableColumn id="2" xr3:uid="{7D61946D-5CB6-49AF-B7FC-BA5CCC0DCFA6}" name="2025" dataDxfId="108"/>
    <tableColumn id="3" xr3:uid="{42E8E4E9-4832-405C-8CCA-9BA0D99CC7F5}" name="2024" dataDxfId="107"/>
    <tableColumn id="4" xr3:uid="{337D4855-03CE-4209-97AA-79296D64954A}" name="2023" dataDxfId="106"/>
    <tableColumn id="5" xr3:uid="{8BE17066-288F-424E-AB4D-DEBF80A97D34}" name="2022" dataDxfId="105"/>
    <tableColumn id="6" xr3:uid="{6E8D853E-9C94-4EBE-BE7D-EC6C42CA996E}" name="2021" dataDxfId="104"/>
  </tableColumns>
  <tableStyleInfo name="TableStyleLight1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3934FFDA-F499-4402-A085-68164628FE7A}" name="Table374142" displayName="Table374142" ref="M24:S38" totalsRowShown="0" dataDxfId="103">
  <autoFilter ref="M24:S38" xr:uid="{94FEF257-0A90-4B66-A089-0FA47FC41378}"/>
  <tableColumns count="7">
    <tableColumn id="1" xr3:uid="{18765407-D652-42B5-8123-F016D9FE3BFE}" name="Month" dataDxfId="102"/>
    <tableColumn id="8" xr3:uid="{4C0DDE93-8C0A-44EA-BEF5-029488789FD5}" name="2026" dataDxfId="101" dataCellStyle="Percent"/>
    <tableColumn id="2" xr3:uid="{3D3B0C79-7D0D-4BE1-AB3D-D91A8A2910CC}" name="2025" dataDxfId="100"/>
    <tableColumn id="3" xr3:uid="{08AC2BDD-8193-480A-ADC5-1C65E43DB308}" name="2024" dataDxfId="99"/>
    <tableColumn id="4" xr3:uid="{712F2260-57DA-4C50-8FDA-73DD99CF777D}" name="2023" dataDxfId="98"/>
    <tableColumn id="5" xr3:uid="{E276E7C5-5EF3-4521-A00D-7E1B59AA16DC}" name="2022" dataDxfId="97"/>
    <tableColumn id="6" xr3:uid="{656578E3-9C7B-461D-809D-2100DB1B1F03}" name="2021" dataDxfId="96"/>
  </tableColumns>
  <tableStyleInfo name="TableStyleLight1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455C2AE5-DA67-4FF7-BACB-A46E02F7EC6D}" name="Table37414239" displayName="Table37414239" ref="M24:S38" totalsRowShown="0" dataDxfId="95">
  <autoFilter ref="M24:S38" xr:uid="{94FEF257-0A90-4B66-A089-0FA47FC41378}"/>
  <tableColumns count="7">
    <tableColumn id="1" xr3:uid="{43C5AA34-F090-4824-9F69-C22FF4B61876}" name="Month" dataDxfId="94"/>
    <tableColumn id="8" xr3:uid="{A16BDFD3-EEB3-4F87-A7D5-1CC034BAD035}" name="2026" dataDxfId="93" dataCellStyle="Percent"/>
    <tableColumn id="2" xr3:uid="{CBD8390A-2BCD-4533-B768-60BBF4C6A4C9}" name="2025" dataDxfId="92"/>
    <tableColumn id="3" xr3:uid="{0CF2045D-4CB8-4244-A530-A212A8D4EC29}" name="2024" dataDxfId="91"/>
    <tableColumn id="4" xr3:uid="{2CE96CE7-31B4-4482-A6DF-2780D7E02162}" name="2023" dataDxfId="90"/>
    <tableColumn id="5" xr3:uid="{9F459BC3-382F-46D3-9C27-6174A8C3C421}" name="2022" dataDxfId="89"/>
    <tableColumn id="6" xr3:uid="{CB09506A-D521-4047-AF26-5EDE8ADE4460}" name="2021" dataDxfId="88"/>
  </tableColumns>
  <tableStyleInfo name="TableStyleLight1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E9C4435E-51DC-4A4B-9CE7-3D83897C6532}" name="Table3741423940" displayName="Table3741423940" ref="M24:S38" totalsRowShown="0" dataDxfId="87">
  <autoFilter ref="M24:S38" xr:uid="{94FEF257-0A90-4B66-A089-0FA47FC41378}"/>
  <tableColumns count="7">
    <tableColumn id="1" xr3:uid="{08FAE45F-2FD4-4025-9210-51862AA112B0}" name="Month" dataDxfId="86"/>
    <tableColumn id="8" xr3:uid="{8E7CE0CC-E2D0-4CC0-8D28-E0B599610AF8}" name="2026" dataDxfId="85" dataCellStyle="Percent"/>
    <tableColumn id="2" xr3:uid="{6FC5017E-D6D8-4617-883B-07C7D0F02546}" name="2025" dataDxfId="84"/>
    <tableColumn id="3" xr3:uid="{BA2FC24A-FEEA-4E45-9236-72F4E8C22157}" name="2024" dataDxfId="83"/>
    <tableColumn id="4" xr3:uid="{12D5118F-7FD1-4A97-9C3F-58BB3AAE3892}" name="2023" dataDxfId="82"/>
    <tableColumn id="5" xr3:uid="{9C308F2B-B239-4061-AAC9-BD8356F6919A}" name="2022" dataDxfId="81"/>
    <tableColumn id="6" xr3:uid="{38F8F8E2-ABD0-4D59-9AF8-CD5CC6504BB1}" name="2021" dataDxfId="80"/>
  </tableColumns>
  <tableStyleInfo name="TableStyleLight1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4DB0AB72-5614-4C75-87B9-5397F98634F0}" name="Table374142394043" displayName="Table374142394043" ref="M24:S38" totalsRowShown="0" dataDxfId="79">
  <autoFilter ref="M24:S38" xr:uid="{94FEF257-0A90-4B66-A089-0FA47FC41378}"/>
  <tableColumns count="7">
    <tableColumn id="1" xr3:uid="{DF787E09-18A9-42A0-A840-451BE659B4A9}" name="Month" dataDxfId="78"/>
    <tableColumn id="8" xr3:uid="{ED7608A7-48D0-4F31-B512-9F6E1A251709}" name="2026" dataDxfId="77" dataCellStyle="Percent"/>
    <tableColumn id="2" xr3:uid="{FD4D26E5-AB49-4871-AC4B-2D08AC37BCED}" name="2025" dataDxfId="76"/>
    <tableColumn id="3" xr3:uid="{B005C8FA-7031-40E6-BDDD-2CD6BCA0C82F}" name="2024" dataDxfId="75"/>
    <tableColumn id="4" xr3:uid="{3A8F6C66-7095-4310-B59C-BF0451AD9659}" name="2023" dataDxfId="74"/>
    <tableColumn id="5" xr3:uid="{8B1BE997-7029-4BD0-9869-0717CEABAABF}" name="2022" dataDxfId="73"/>
    <tableColumn id="6" xr3:uid="{F1C67C2F-5216-4D77-8C5E-CE141706F3EA}" name="2021" dataDxfId="72"/>
  </tableColumns>
  <tableStyleInfo name="TableStyleLight1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5C1C63A9-95E9-4B50-B9A9-485F8E68C64B}" name="Table37414239404344" displayName="Table37414239404344" ref="M24:S38" totalsRowShown="0" dataDxfId="71">
  <autoFilter ref="M24:S38" xr:uid="{94FEF257-0A90-4B66-A089-0FA47FC41378}"/>
  <tableColumns count="7">
    <tableColumn id="1" xr3:uid="{A4073579-FC94-498E-A567-1B7755CA4D37}" name="Month" dataDxfId="70"/>
    <tableColumn id="8" xr3:uid="{A0013229-74ED-4D72-8D17-BDBE49D55FEE}" name="2026" dataDxfId="69" dataCellStyle="Percent"/>
    <tableColumn id="2" xr3:uid="{3B92D824-332B-4D88-B1D2-0624D2697F77}" name="2025" dataDxfId="68"/>
    <tableColumn id="3" xr3:uid="{44C5B49D-8239-4012-BFB7-8C45A936807C}" name="2024" dataDxfId="67"/>
    <tableColumn id="4" xr3:uid="{3E1E5369-4E65-4A19-AEB0-4C45A2A612B3}" name="2023" dataDxfId="66"/>
    <tableColumn id="5" xr3:uid="{49C94B24-7EBD-4D70-9761-8A72AA6E7B85}" name="2022" dataDxfId="65"/>
    <tableColumn id="6" xr3:uid="{5AD7E2E8-D4D6-4E27-A464-2A74B25D99EB}" name="2021" dataDxfId="64"/>
  </tableColumns>
  <tableStyleInfo name="TableStyleLight1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66CC1428-241F-4DA3-A263-F02013EE2A1F}" name="Table3741423940434445" displayName="Table3741423940434445" ref="M24:S38" totalsRowShown="0" dataDxfId="63">
  <autoFilter ref="M24:S38" xr:uid="{94FEF257-0A90-4B66-A089-0FA47FC41378}"/>
  <tableColumns count="7">
    <tableColumn id="1" xr3:uid="{04D9233E-E1F6-41EE-9D10-697816CCE7A8}" name="Month" dataDxfId="62"/>
    <tableColumn id="8" xr3:uid="{EAC7E686-99DB-4A08-A1DD-FB348250C32A}" name="2026" dataDxfId="61" dataCellStyle="Percent"/>
    <tableColumn id="2" xr3:uid="{9AC1567D-B412-41B6-8EEB-2D362F7EC3C9}" name="2025" dataDxfId="60"/>
    <tableColumn id="3" xr3:uid="{F16C0C7D-3788-4859-AE4F-97E4DFDBB880}" name="2024" dataDxfId="59"/>
    <tableColumn id="4" xr3:uid="{5F98AFDC-D6F3-4ED1-9FEA-45EF719EBFFA}" name="2023" dataDxfId="58"/>
    <tableColumn id="5" xr3:uid="{B809E37B-A226-40CD-B4A8-5F28467C6E5E}" name="2022" dataDxfId="57"/>
    <tableColumn id="6" xr3:uid="{471C9EAE-7069-43AF-BCCF-4CE4B60DD3F3}" name="2021" dataDxfId="56"/>
  </tableColumns>
  <tableStyleInfo name="TableStyleLight1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4BE8C1E6-1568-43BE-B110-E5A6B3E4DB0E}" name="Table374142394043444546" displayName="Table374142394043444546" ref="M24:S38" totalsRowShown="0" dataDxfId="55">
  <autoFilter ref="M24:S38" xr:uid="{94FEF257-0A90-4B66-A089-0FA47FC41378}"/>
  <tableColumns count="7">
    <tableColumn id="1" xr3:uid="{3C15D81E-034A-4B07-B150-5476C8CA7FDF}" name="Month" dataDxfId="54"/>
    <tableColumn id="8" xr3:uid="{CB3E9297-46D3-4FF3-AD7E-87114F449346}" name="2026" dataDxfId="53" dataCellStyle="Percent"/>
    <tableColumn id="2" xr3:uid="{7672292E-33A8-4D43-B5C4-AD9BA85AB2C1}" name="2025" dataDxfId="52"/>
    <tableColumn id="3" xr3:uid="{84307FA8-9C74-4B25-86B7-EC79FCAF5AF5}" name="2024" dataDxfId="51"/>
    <tableColumn id="4" xr3:uid="{FAC5CCDC-B318-4723-90D7-09758A98AEE2}" name="2023" dataDxfId="50"/>
    <tableColumn id="5" xr3:uid="{A55B0059-DC37-4F79-B64D-6E37E7F9BD99}" name="2022" dataDxfId="49"/>
    <tableColumn id="6" xr3:uid="{B688EA76-9A93-461B-8F17-36EBA16A40FF}" name="2021" dataDxfId="48"/>
  </tableColumns>
  <tableStyleInfo name="TableStyleLight1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83883F3B-A55E-415D-B4AF-6B9065CBB97B}" name="Table37414239404344454647" displayName="Table37414239404344454647" ref="M24:S38" totalsRowShown="0" dataDxfId="47">
  <autoFilter ref="M24:S38" xr:uid="{94FEF257-0A90-4B66-A089-0FA47FC41378}"/>
  <tableColumns count="7">
    <tableColumn id="1" xr3:uid="{BC164DC9-D8E5-4B95-B4BF-BB8885E62892}" name="Month" dataDxfId="46"/>
    <tableColumn id="8" xr3:uid="{4812F24B-3699-419D-9404-6246D2EF31F0}" name="2026" dataDxfId="45" dataCellStyle="Percent"/>
    <tableColumn id="2" xr3:uid="{C80AC172-09E5-4A81-9A82-20E71D2E4AAF}" name="2025" dataDxfId="44"/>
    <tableColumn id="3" xr3:uid="{80BA87D2-D6FC-477B-90C6-3F8659BA99A5}" name="2024" dataDxfId="43"/>
    <tableColumn id="4" xr3:uid="{920CD23A-C94B-4A5A-8EDA-BF2EFF155407}" name="2023" dataDxfId="42"/>
    <tableColumn id="5" xr3:uid="{9635E22E-CC89-437D-87C7-0D0A9E86F679}" name="2022" dataDxfId="41"/>
    <tableColumn id="6" xr3:uid="{5D77EC00-FAD6-4FE5-A45F-88CC87716863}" name="2021" dataDxfId="40"/>
  </tableColumns>
  <tableStyleInfo name="TableStyleLight1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446A7BCF-B514-413F-99D6-3864F2BFCC3E}" name="Table3741423940434445464748" displayName="Table3741423940434445464748" ref="M24:S38" totalsRowShown="0" dataDxfId="39">
  <autoFilter ref="M24:S38" xr:uid="{94FEF257-0A90-4B66-A089-0FA47FC41378}"/>
  <tableColumns count="7">
    <tableColumn id="1" xr3:uid="{B202FAAD-9FFB-4CC5-9C66-E534408BD13D}" name="Month" dataDxfId="38"/>
    <tableColumn id="8" xr3:uid="{95DFB3BF-2A0A-4BBC-BFD2-C50D8C5FCB65}" name="2026" dataDxfId="37" dataCellStyle="Percent"/>
    <tableColumn id="2" xr3:uid="{EF080AF2-194E-4EA5-9FFA-A69F1A05EECC}" name="2025" dataDxfId="36"/>
    <tableColumn id="3" xr3:uid="{1A002F03-B742-4F4A-9E8F-817565D1C298}" name="2024" dataDxfId="35"/>
    <tableColumn id="4" xr3:uid="{AACFD401-F787-4B25-B98F-76DFDDD91EAC}" name="2023" dataDxfId="34"/>
    <tableColumn id="5" xr3:uid="{65207629-2F76-4464-8CA2-BFAAD8DDF4E8}" name="2022" dataDxfId="33"/>
    <tableColumn id="6" xr3:uid="{B222A1B7-F9EA-4F3B-BB10-746058E9E7E5}" name="2021" dataDxfId="32"/>
  </tableColumns>
  <tableStyleInfo name="TableStyleLight1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6C5E0148-E169-4E42-A9E2-C3142DE5FF44}" name="Table374142394043444546474849" displayName="Table374142394043444546474849" ref="M24:S38" totalsRowShown="0" dataDxfId="31">
  <autoFilter ref="M24:S38" xr:uid="{94FEF257-0A90-4B66-A089-0FA47FC41378}"/>
  <tableColumns count="7">
    <tableColumn id="1" xr3:uid="{5A906D74-9996-4E09-9543-EABB7D823E8E}" name="Month" dataDxfId="30"/>
    <tableColumn id="8" xr3:uid="{53D7ECB5-DEE3-493B-BAA0-DD3E4B2E6E8A}" name="2026" dataDxfId="29" dataCellStyle="Percent"/>
    <tableColumn id="2" xr3:uid="{9265D2A5-2D5B-428D-BA2A-13EA194FC9E8}" name="2025" dataDxfId="28"/>
    <tableColumn id="3" xr3:uid="{F00FE42C-EC21-408D-A6FB-14F54B88D405}" name="2024" dataDxfId="27"/>
    <tableColumn id="4" xr3:uid="{5A357285-4D80-4711-8519-DDE0FB99FCA8}" name="2023" dataDxfId="26"/>
    <tableColumn id="5" xr3:uid="{9409F06A-3B95-4F95-BB0D-971366D83F1B}" name="2022" dataDxfId="25"/>
    <tableColumn id="6" xr3:uid="{EAD566B4-5AFD-43AA-87A3-F5DADFDFD0A9}" name="2021" dataDxfId="24"/>
  </tableColumns>
  <tableStyleInfo name="TableStyleLight1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CD64B1B7-2AE0-4E2F-A7D0-702CFF5F7730}" name="Table37414239404344454647484950" displayName="Table37414239404344454647484950" ref="M24:S38" totalsRowShown="0" dataDxfId="23">
  <autoFilter ref="M24:S38" xr:uid="{94FEF257-0A90-4B66-A089-0FA47FC41378}"/>
  <tableColumns count="7">
    <tableColumn id="1" xr3:uid="{CFD08F57-1523-422D-B7F7-07E12A2B615C}" name="Month" dataDxfId="22"/>
    <tableColumn id="8" xr3:uid="{6AE266E3-9FF3-4769-90AC-CF801ABF1D87}" name="2026" dataDxfId="21" dataCellStyle="Percent"/>
    <tableColumn id="2" xr3:uid="{DFCCBA36-4D65-4DA4-9969-712F8369F24D}" name="2025" dataDxfId="20"/>
    <tableColumn id="3" xr3:uid="{2B386EFA-6150-4478-8B2C-749873E1958B}" name="2024" dataDxfId="19"/>
    <tableColumn id="4" xr3:uid="{D5F7643D-1BFB-4F27-AB42-C8FE2537D23F}" name="2023" dataDxfId="18"/>
    <tableColumn id="5" xr3:uid="{0EC676D4-A7A4-42F7-90BA-36F0A02CAD86}" name="2022" dataDxfId="17"/>
    <tableColumn id="6" xr3:uid="{07C88275-0284-41DF-8146-AF645D5094E5}" name="2021" dataDxfId="16"/>
  </tableColumns>
  <tableStyleInfo name="TableStyleLight1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EA5AD079-2FA9-4366-8DEE-736995417E51}" name="Table3741423940434445464748495051" displayName="Table3741423940434445464748495051" ref="M24:S38" totalsRowShown="0" dataDxfId="15">
  <autoFilter ref="M24:S38" xr:uid="{94FEF257-0A90-4B66-A089-0FA47FC41378}"/>
  <tableColumns count="7">
    <tableColumn id="1" xr3:uid="{F5ADBFDE-5B36-4C7F-A105-F5C6A5B45011}" name="Month" dataDxfId="14"/>
    <tableColumn id="8" xr3:uid="{F9F57FEA-18B1-4BBF-B955-4F0173676688}" name="2026" dataDxfId="13" dataCellStyle="Percent"/>
    <tableColumn id="2" xr3:uid="{D8A31755-6C24-466B-A92D-D8B4AA6558E9}" name="2025" dataDxfId="12"/>
    <tableColumn id="3" xr3:uid="{433BABAA-E4BA-41E5-AF55-0CFA1B092306}" name="2024" dataDxfId="11"/>
    <tableColumn id="4" xr3:uid="{129B3BFF-A851-4847-BC75-A478FCE2F0A3}" name="2023" dataDxfId="10"/>
    <tableColumn id="5" xr3:uid="{3CC08306-099C-4C7E-8AE2-31179B83B2E8}" name="2022" dataDxfId="9"/>
    <tableColumn id="6" xr3:uid="{630B6BA7-8CCA-47C0-8944-13768E982791}" name="2021" dataDxfId="8"/>
  </tableColumns>
  <tableStyleInfo name="TableStyleLight1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3F02F8B3-9A6F-4D8F-82DD-E1986E0DDB83}" name="Table374142394043444546474849505152" displayName="Table374142394043444546474849505152" ref="M24:S38" totalsRowShown="0" dataDxfId="7">
  <autoFilter ref="M24:S38" xr:uid="{94FEF257-0A90-4B66-A089-0FA47FC41378}"/>
  <tableColumns count="7">
    <tableColumn id="1" xr3:uid="{C73C10C9-E20F-4A6D-977F-FEBAB0106867}" name="Month" dataDxfId="6"/>
    <tableColumn id="8" xr3:uid="{C34C39A7-88FD-46E6-A739-646961F8F587}" name="2026" dataDxfId="5" dataCellStyle="Percent"/>
    <tableColumn id="2" xr3:uid="{3AA7F977-AA87-4B90-9047-7AEA2539F61A}" name="2025" dataDxfId="4"/>
    <tableColumn id="3" xr3:uid="{1C9D1955-3FF4-4E17-AAAE-8B549D83B618}" name="2024" dataDxfId="3"/>
    <tableColumn id="4" xr3:uid="{8FBBC7F8-B786-4372-AF76-99F895FD4071}" name="2023" dataDxfId="2"/>
    <tableColumn id="5" xr3:uid="{F021E7FE-A0F5-4355-B5D8-BFF5663E1375}" name="2022" dataDxfId="1"/>
    <tableColumn id="6" xr3:uid="{98FF5B0C-2B14-44B3-9643-5BF661E4A76C}" name="2021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table" Target="../tables/table13.xml"/><Relationship Id="rId18" Type="http://schemas.openxmlformats.org/officeDocument/2006/relationships/table" Target="../tables/table18.xml"/><Relationship Id="rId26" Type="http://schemas.openxmlformats.org/officeDocument/2006/relationships/table" Target="../tables/table26.xml"/><Relationship Id="rId21" Type="http://schemas.openxmlformats.org/officeDocument/2006/relationships/table" Target="../tables/table21.xml"/><Relationship Id="rId34" Type="http://schemas.openxmlformats.org/officeDocument/2006/relationships/table" Target="../tables/table34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17" Type="http://schemas.openxmlformats.org/officeDocument/2006/relationships/table" Target="../tables/table17.xml"/><Relationship Id="rId25" Type="http://schemas.openxmlformats.org/officeDocument/2006/relationships/table" Target="../tables/table25.xml"/><Relationship Id="rId33" Type="http://schemas.openxmlformats.org/officeDocument/2006/relationships/table" Target="../tables/table33.xml"/><Relationship Id="rId2" Type="http://schemas.openxmlformats.org/officeDocument/2006/relationships/table" Target="../tables/table2.xml"/><Relationship Id="rId16" Type="http://schemas.openxmlformats.org/officeDocument/2006/relationships/table" Target="../tables/table16.xml"/><Relationship Id="rId20" Type="http://schemas.openxmlformats.org/officeDocument/2006/relationships/table" Target="../tables/table20.xml"/><Relationship Id="rId29" Type="http://schemas.openxmlformats.org/officeDocument/2006/relationships/table" Target="../tables/table29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24" Type="http://schemas.openxmlformats.org/officeDocument/2006/relationships/table" Target="../tables/table24.xml"/><Relationship Id="rId32" Type="http://schemas.openxmlformats.org/officeDocument/2006/relationships/table" Target="../tables/table32.xml"/><Relationship Id="rId37" Type="http://schemas.openxmlformats.org/officeDocument/2006/relationships/table" Target="../tables/table37.xml"/><Relationship Id="rId5" Type="http://schemas.openxmlformats.org/officeDocument/2006/relationships/table" Target="../tables/table5.xml"/><Relationship Id="rId15" Type="http://schemas.openxmlformats.org/officeDocument/2006/relationships/table" Target="../tables/table15.xml"/><Relationship Id="rId23" Type="http://schemas.openxmlformats.org/officeDocument/2006/relationships/table" Target="../tables/table23.xml"/><Relationship Id="rId28" Type="http://schemas.openxmlformats.org/officeDocument/2006/relationships/table" Target="../tables/table28.xml"/><Relationship Id="rId36" Type="http://schemas.openxmlformats.org/officeDocument/2006/relationships/table" Target="../tables/table36.xml"/><Relationship Id="rId10" Type="http://schemas.openxmlformats.org/officeDocument/2006/relationships/table" Target="../tables/table10.xml"/><Relationship Id="rId19" Type="http://schemas.openxmlformats.org/officeDocument/2006/relationships/table" Target="../tables/table19.xml"/><Relationship Id="rId31" Type="http://schemas.openxmlformats.org/officeDocument/2006/relationships/table" Target="../tables/table31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Relationship Id="rId22" Type="http://schemas.openxmlformats.org/officeDocument/2006/relationships/table" Target="../tables/table22.xml"/><Relationship Id="rId27" Type="http://schemas.openxmlformats.org/officeDocument/2006/relationships/table" Target="../tables/table27.xml"/><Relationship Id="rId30" Type="http://schemas.openxmlformats.org/officeDocument/2006/relationships/table" Target="../tables/table30.xml"/><Relationship Id="rId35" Type="http://schemas.openxmlformats.org/officeDocument/2006/relationships/table" Target="../tables/table35.xml"/><Relationship Id="rId8" Type="http://schemas.openxmlformats.org/officeDocument/2006/relationships/table" Target="../tables/table8.xml"/><Relationship Id="rId3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8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9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0.x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1.x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2.xml"/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3.xml"/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4.xml"/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5.xml"/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6.xml"/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7.xml"/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8.xml"/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9.xml"/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0.xml"/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1.xml"/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4DBC7-9BBA-42E4-BF0A-78D20F67797C}">
  <dimension ref="B1:S38"/>
  <sheetViews>
    <sheetView showGridLines="0" topLeftCell="A6" zoomScaleNormal="100" workbookViewId="0">
      <selection activeCell="U19" sqref="U19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9" width="7.332031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s">
        <v>153</v>
      </c>
      <c r="J1" s="30"/>
    </row>
    <row r="21" spans="2:19" ht="27" x14ac:dyDescent="0.35">
      <c r="B21" s="55" t="s">
        <v>154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s">
        <v>209</v>
      </c>
      <c r="S23" s="65"/>
    </row>
    <row r="24" spans="2:19" ht="19.5" customHeight="1" x14ac:dyDescent="0.2">
      <c r="M24" s="66" t="s">
        <v>156</v>
      </c>
      <c r="N24" s="56" t="s">
        <v>157</v>
      </c>
      <c r="O24" s="57" t="s">
        <v>158</v>
      </c>
      <c r="P24" s="58" t="s">
        <v>159</v>
      </c>
      <c r="Q24" s="59" t="s">
        <v>160</v>
      </c>
      <c r="R24" s="60" t="s">
        <v>161</v>
      </c>
      <c r="S24" s="67" t="s">
        <v>162</v>
      </c>
    </row>
    <row r="25" spans="2:19" ht="19.5" customHeight="1" x14ac:dyDescent="0.2">
      <c r="M25" s="68" t="s">
        <v>163</v>
      </c>
      <c r="N25" s="39">
        <v>0.11078546307151231</v>
      </c>
      <c r="O25" s="40">
        <v>0.1017</v>
      </c>
      <c r="P25" s="41">
        <v>0.12</v>
      </c>
      <c r="Q25" s="42">
        <v>8.5999999999999993E-2</v>
      </c>
      <c r="R25" s="43">
        <v>0.1171</v>
      </c>
      <c r="S25" s="69">
        <v>0.13239999999999999</v>
      </c>
    </row>
    <row r="26" spans="2:19" ht="19.5" customHeight="1" x14ac:dyDescent="0.2">
      <c r="M26" s="70" t="s">
        <v>164</v>
      </c>
      <c r="N26" s="44">
        <v>0.15123094958968347</v>
      </c>
      <c r="O26" s="45">
        <v>0.14149999999999999</v>
      </c>
      <c r="P26" s="46">
        <v>0.19089999999999999</v>
      </c>
      <c r="Q26" s="47">
        <v>0.1196</v>
      </c>
      <c r="R26" s="48">
        <v>0.2165</v>
      </c>
      <c r="S26" s="71">
        <v>0.20119999999999999</v>
      </c>
    </row>
    <row r="27" spans="2:19" ht="19.5" customHeight="1" x14ac:dyDescent="0.2">
      <c r="M27" s="70" t="s">
        <v>165</v>
      </c>
      <c r="N27" s="44">
        <v>0.22743259085580306</v>
      </c>
      <c r="O27" s="49">
        <v>0.21360000000000001</v>
      </c>
      <c r="P27" s="50">
        <v>0.28000000000000003</v>
      </c>
      <c r="Q27" s="51">
        <v>0.215</v>
      </c>
      <c r="R27" s="52">
        <v>0.29549999999999998</v>
      </c>
      <c r="S27" s="72">
        <v>0.2515</v>
      </c>
    </row>
    <row r="28" spans="2:19" ht="19.5" customHeight="1" x14ac:dyDescent="0.2">
      <c r="M28" s="70" t="s">
        <v>166</v>
      </c>
      <c r="N28" s="44">
        <v>0.27432590855803046</v>
      </c>
      <c r="O28" s="45">
        <v>0.2873</v>
      </c>
      <c r="P28" s="46">
        <v>0.32729999999999998</v>
      </c>
      <c r="Q28" s="47">
        <v>0.32800000000000001</v>
      </c>
      <c r="R28" s="48">
        <v>0.36899999999999999</v>
      </c>
      <c r="S28" s="71">
        <v>0.35010000000000002</v>
      </c>
    </row>
    <row r="29" spans="2:19" ht="19.5" customHeight="1" x14ac:dyDescent="0.2">
      <c r="M29" s="70" t="s">
        <v>167</v>
      </c>
      <c r="N29" s="44">
        <v>0.33470105509964831</v>
      </c>
      <c r="O29" s="49">
        <v>0.31690000000000002</v>
      </c>
      <c r="P29" s="50">
        <v>0.38819999999999999</v>
      </c>
      <c r="Q29" s="51">
        <v>0.35980000000000001</v>
      </c>
      <c r="R29" s="52">
        <v>0.40799999999999997</v>
      </c>
      <c r="S29" s="72">
        <v>0.37890000000000001</v>
      </c>
    </row>
    <row r="30" spans="2:19" ht="19.5" customHeight="1" x14ac:dyDescent="0.2">
      <c r="M30" s="70" t="s">
        <v>168</v>
      </c>
      <c r="N30" s="44">
        <v>0.44619999999999999</v>
      </c>
      <c r="O30" s="45">
        <v>0.4466</v>
      </c>
      <c r="P30" s="46">
        <v>0.48359999999999997</v>
      </c>
      <c r="Q30" s="47">
        <v>0.40839999999999999</v>
      </c>
      <c r="R30" s="48">
        <v>0.4572</v>
      </c>
      <c r="S30" s="71">
        <v>0.42299999999999999</v>
      </c>
    </row>
    <row r="31" spans="2:19" ht="19.5" customHeight="1" x14ac:dyDescent="0.2">
      <c r="M31" s="70" t="s">
        <v>169</v>
      </c>
      <c r="N31" s="44">
        <v>0.50580000000000003</v>
      </c>
      <c r="O31" s="49">
        <v>0.52459999999999996</v>
      </c>
      <c r="P31" s="50">
        <v>0.56359999999999999</v>
      </c>
      <c r="Q31" s="51">
        <v>0.46820000000000001</v>
      </c>
      <c r="R31" s="52">
        <v>0.57430000000000003</v>
      </c>
      <c r="S31" s="72">
        <v>0.48559999999999998</v>
      </c>
    </row>
    <row r="32" spans="2:19" ht="19.5" customHeight="1" x14ac:dyDescent="0.2">
      <c r="M32" s="70" t="s">
        <v>170</v>
      </c>
      <c r="N32" s="44">
        <v>0.59409999999999996</v>
      </c>
      <c r="O32" s="45">
        <v>0.61780000000000002</v>
      </c>
      <c r="P32" s="46">
        <v>0.64180000000000004</v>
      </c>
      <c r="Q32" s="47">
        <v>0.60929999999999995</v>
      </c>
      <c r="R32" s="48">
        <v>0.69699999999999995</v>
      </c>
      <c r="S32" s="71">
        <v>0.63660000000000005</v>
      </c>
    </row>
    <row r="33" spans="13:19" ht="19.5" customHeight="1" x14ac:dyDescent="0.2">
      <c r="M33" s="70" t="s">
        <v>171</v>
      </c>
      <c r="N33" s="44">
        <v>0.71630000000000005</v>
      </c>
      <c r="O33" s="49">
        <v>0.70589999999999997</v>
      </c>
      <c r="P33" s="50">
        <v>0.72270000000000001</v>
      </c>
      <c r="Q33" s="51">
        <v>0.68410000000000004</v>
      </c>
      <c r="R33" s="52">
        <v>0.7742</v>
      </c>
      <c r="S33" s="72">
        <v>0.75260000000000005</v>
      </c>
    </row>
    <row r="34" spans="13:19" ht="19.5" customHeight="1" x14ac:dyDescent="0.2">
      <c r="M34" s="70" t="s">
        <v>172</v>
      </c>
      <c r="N34" s="89">
        <v>0.7913</v>
      </c>
      <c r="O34" s="45">
        <v>0.77290000000000003</v>
      </c>
      <c r="P34" s="46">
        <v>0.77180000000000004</v>
      </c>
      <c r="Q34" s="47">
        <v>0.8</v>
      </c>
      <c r="R34" s="48">
        <v>0.82430000000000003</v>
      </c>
      <c r="S34" s="71">
        <v>0.79159999999999997</v>
      </c>
    </row>
    <row r="35" spans="13:19" ht="19.5" customHeight="1" x14ac:dyDescent="0.2">
      <c r="M35" s="70" t="s">
        <v>173</v>
      </c>
      <c r="N35" s="92">
        <v>0.85809999999999997</v>
      </c>
      <c r="O35" s="49">
        <v>0.82289999999999996</v>
      </c>
      <c r="P35" s="50">
        <v>0.82089999999999996</v>
      </c>
      <c r="Q35" s="51">
        <v>0.85609999999999997</v>
      </c>
      <c r="R35" s="52">
        <v>0.87270000000000003</v>
      </c>
      <c r="S35" s="72">
        <v>0.8891</v>
      </c>
    </row>
    <row r="36" spans="13:19" ht="19.5" customHeight="1" x14ac:dyDescent="0.2">
      <c r="M36" s="70" t="s">
        <v>174</v>
      </c>
      <c r="N36" s="44"/>
      <c r="O36" s="45">
        <v>0.89580000000000004</v>
      </c>
      <c r="P36" s="46">
        <v>0.93089999999999995</v>
      </c>
      <c r="Q36" s="47">
        <v>0.92059999999999997</v>
      </c>
      <c r="R36" s="48">
        <v>0.96560000000000001</v>
      </c>
      <c r="S36" s="71">
        <v>0.92300000000000004</v>
      </c>
    </row>
    <row r="37" spans="13:19" ht="19.5" customHeight="1" x14ac:dyDescent="0.2">
      <c r="M37" s="70" t="s">
        <v>175</v>
      </c>
      <c r="N37" s="44"/>
      <c r="O37" s="49">
        <v>0.93140000000000001</v>
      </c>
      <c r="P37" s="50">
        <v>0.94179999999999997</v>
      </c>
      <c r="Q37" s="51">
        <v>0.93179999999999996</v>
      </c>
      <c r="R37" s="52">
        <v>0.97030000000000005</v>
      </c>
      <c r="S37" s="72">
        <v>0.95689999999999997</v>
      </c>
    </row>
    <row r="38" spans="13:19" ht="19.5" customHeight="1" x14ac:dyDescent="0.2">
      <c r="M38" s="70" t="s">
        <v>176</v>
      </c>
      <c r="N38" s="44"/>
      <c r="O38" s="45">
        <v>0.95589999999999997</v>
      </c>
      <c r="P38" s="46">
        <v>0.94359999999999999</v>
      </c>
      <c r="Q38" s="47">
        <v>0.94110000000000005</v>
      </c>
      <c r="R38" s="48">
        <v>0.97399999999999998</v>
      </c>
      <c r="S38" s="71">
        <v>0.96</v>
      </c>
    </row>
  </sheetData>
  <phoneticPr fontId="5" type="noConversion"/>
  <pageMargins left="0.7" right="0.7" top="0.75" bottom="0.75" header="0.3" footer="0.3"/>
  <pageSetup orientation="portrait" horizontalDpi="0" verticalDpi="0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EDE59-1F20-41EA-B484-FA1B4138C3E3}">
  <dimension ref="A1:AL275"/>
  <sheetViews>
    <sheetView tabSelected="1" topLeftCell="A50" workbookViewId="0">
      <pane xSplit="1" topLeftCell="Z1" activePane="topRight" state="frozen"/>
      <selection activeCell="A13" sqref="A13"/>
      <selection pane="topRight" activeCell="AL49" sqref="AL49"/>
    </sheetView>
  </sheetViews>
  <sheetFormatPr baseColWidth="10" defaultColWidth="8.83203125" defaultRowHeight="15" x14ac:dyDescent="0.2"/>
  <cols>
    <col min="1" max="1" width="18.5" customWidth="1"/>
    <col min="18" max="18" width="10.6640625" customWidth="1"/>
    <col min="19" max="19" width="9.1640625" customWidth="1"/>
    <col min="23" max="23" width="15.6640625" bestFit="1" customWidth="1"/>
    <col min="24" max="25" width="12" bestFit="1" customWidth="1"/>
    <col min="26" max="26" width="19.1640625" bestFit="1" customWidth="1"/>
    <col min="27" max="27" width="15.5" bestFit="1" customWidth="1"/>
    <col min="28" max="29" width="10.1640625" bestFit="1" customWidth="1"/>
    <col min="30" max="30" width="17" customWidth="1"/>
    <col min="31" max="31" width="11.33203125" bestFit="1" customWidth="1"/>
    <col min="32" max="32" width="12.33203125" bestFit="1" customWidth="1"/>
    <col min="33" max="33" width="13.33203125" customWidth="1"/>
    <col min="34" max="34" width="15" customWidth="1"/>
    <col min="35" max="35" width="19.1640625" customWidth="1"/>
    <col min="36" max="36" width="15.6640625" customWidth="1"/>
    <col min="37" max="37" width="15.5" customWidth="1"/>
    <col min="38" max="38" width="13.33203125" bestFit="1" customWidth="1"/>
  </cols>
  <sheetData>
    <row r="1" spans="1:29" ht="22" x14ac:dyDescent="0.3">
      <c r="A1" s="54" t="s">
        <v>0</v>
      </c>
    </row>
    <row r="2" spans="1:29" ht="19" x14ac:dyDescent="0.25">
      <c r="A2" s="28" t="s">
        <v>1</v>
      </c>
      <c r="B2" s="29"/>
      <c r="C2" s="29"/>
      <c r="D2" s="29"/>
      <c r="F2" s="28" t="s">
        <v>2</v>
      </c>
      <c r="G2" s="29"/>
      <c r="H2" s="29"/>
      <c r="I2" s="29"/>
      <c r="J2" s="29"/>
      <c r="K2" s="28" t="s">
        <v>3</v>
      </c>
      <c r="L2" s="29"/>
      <c r="M2" s="29"/>
      <c r="N2" s="29"/>
      <c r="O2" s="29"/>
      <c r="P2" s="28" t="s">
        <v>4</v>
      </c>
      <c r="Q2" s="29"/>
      <c r="R2" s="29"/>
      <c r="S2" s="29"/>
      <c r="T2" s="29"/>
      <c r="U2" s="28" t="s">
        <v>5</v>
      </c>
      <c r="V2" s="29"/>
      <c r="W2" s="29"/>
      <c r="X2" s="29"/>
      <c r="Y2" s="29"/>
      <c r="Z2" s="28" t="s">
        <v>6</v>
      </c>
      <c r="AA2" s="29"/>
      <c r="AB2" s="29"/>
      <c r="AC2" s="29"/>
    </row>
    <row r="3" spans="1:29" x14ac:dyDescent="0.2">
      <c r="A3" s="37" t="s">
        <v>7</v>
      </c>
      <c r="B3" s="37" t="s">
        <v>8</v>
      </c>
      <c r="C3" s="37" t="s">
        <v>9</v>
      </c>
      <c r="D3" s="38" t="s">
        <v>10</v>
      </c>
      <c r="F3" s="37" t="s">
        <v>11</v>
      </c>
      <c r="G3" s="37" t="s">
        <v>8</v>
      </c>
      <c r="H3" s="37" t="s">
        <v>9</v>
      </c>
      <c r="I3" s="38" t="s">
        <v>10</v>
      </c>
      <c r="J3" s="29"/>
      <c r="K3" s="37" t="s">
        <v>11</v>
      </c>
      <c r="L3" s="37" t="s">
        <v>8</v>
      </c>
      <c r="M3" s="37" t="s">
        <v>9</v>
      </c>
      <c r="N3" s="37" t="s">
        <v>10</v>
      </c>
      <c r="O3" s="29"/>
      <c r="P3" s="37" t="s">
        <v>11</v>
      </c>
      <c r="Q3" s="37" t="s">
        <v>8</v>
      </c>
      <c r="R3" s="37" t="s">
        <v>9</v>
      </c>
      <c r="S3" s="37" t="s">
        <v>10</v>
      </c>
      <c r="T3" s="29"/>
      <c r="U3" s="37" t="s">
        <v>7</v>
      </c>
      <c r="V3" s="37" t="s">
        <v>12</v>
      </c>
      <c r="W3" s="37" t="s">
        <v>9</v>
      </c>
      <c r="X3" s="37" t="s">
        <v>10</v>
      </c>
      <c r="Y3" s="29"/>
      <c r="Z3" s="37" t="s">
        <v>7</v>
      </c>
      <c r="AA3" s="37" t="s">
        <v>12</v>
      </c>
      <c r="AB3" s="37" t="s">
        <v>9</v>
      </c>
      <c r="AC3" s="37" t="s">
        <v>10</v>
      </c>
    </row>
    <row r="4" spans="1:29" x14ac:dyDescent="0.2">
      <c r="A4" t="s">
        <v>13</v>
      </c>
      <c r="B4">
        <v>189</v>
      </c>
      <c r="C4" s="34">
        <f>Table1337[[#This Row],[Accepted Offers]]</f>
        <v>189</v>
      </c>
      <c r="D4" s="35">
        <f>Table1337[[#This Row],[Running Total]]/B20</f>
        <v>0.11078546307151231</v>
      </c>
      <c r="F4" s="29" t="s">
        <v>14</v>
      </c>
      <c r="G4" s="34">
        <v>120</v>
      </c>
      <c r="H4" s="34">
        <v>120</v>
      </c>
      <c r="I4" s="35">
        <v>0.1017</v>
      </c>
      <c r="J4" s="29"/>
      <c r="K4" s="29" t="s">
        <v>15</v>
      </c>
      <c r="L4" s="34">
        <v>132</v>
      </c>
      <c r="M4" s="34">
        <v>132</v>
      </c>
      <c r="N4" s="35">
        <v>0.12</v>
      </c>
      <c r="O4" s="29"/>
      <c r="P4" s="29" t="s">
        <v>16</v>
      </c>
      <c r="Q4" s="34">
        <v>92</v>
      </c>
      <c r="R4" s="34">
        <v>92</v>
      </c>
      <c r="S4" s="35">
        <v>8.5999999999999993E-2</v>
      </c>
      <c r="T4" s="29"/>
      <c r="U4" s="29" t="s">
        <v>17</v>
      </c>
      <c r="V4" s="34">
        <v>126</v>
      </c>
      <c r="W4" s="34">
        <v>126</v>
      </c>
      <c r="X4" s="35">
        <v>0.1171</v>
      </c>
      <c r="Y4" s="29"/>
      <c r="Z4" s="29" t="s">
        <v>18</v>
      </c>
      <c r="AA4" s="34">
        <v>129</v>
      </c>
      <c r="AB4" s="34">
        <v>129</v>
      </c>
      <c r="AC4" s="35">
        <v>0.13239999999999999</v>
      </c>
    </row>
    <row r="5" spans="1:29" x14ac:dyDescent="0.2">
      <c r="A5" t="s">
        <v>19</v>
      </c>
      <c r="B5">
        <v>69</v>
      </c>
      <c r="C5" s="34">
        <f>SUM($B$4:B5)</f>
        <v>258</v>
      </c>
      <c r="D5" s="35">
        <f>Table1337[[#This Row],[Running Total]]/B20</f>
        <v>0.15123094958968347</v>
      </c>
      <c r="F5" s="29" t="s">
        <v>20</v>
      </c>
      <c r="G5" s="34">
        <v>47</v>
      </c>
      <c r="H5" s="34">
        <v>167</v>
      </c>
      <c r="I5" s="35">
        <v>0.14149999999999999</v>
      </c>
      <c r="J5" s="29"/>
      <c r="K5" s="29" t="s">
        <v>21</v>
      </c>
      <c r="L5" s="34">
        <v>78</v>
      </c>
      <c r="M5" s="34">
        <v>210</v>
      </c>
      <c r="N5" s="35">
        <v>0.19089999999999999</v>
      </c>
      <c r="O5" s="29"/>
      <c r="P5" s="29" t="s">
        <v>22</v>
      </c>
      <c r="Q5" s="34">
        <v>36</v>
      </c>
      <c r="R5" s="34">
        <v>128</v>
      </c>
      <c r="S5" s="35">
        <v>0.1196</v>
      </c>
      <c r="T5" s="29"/>
      <c r="U5" s="29" t="s">
        <v>23</v>
      </c>
      <c r="V5" s="34">
        <v>107</v>
      </c>
      <c r="W5" s="34">
        <v>233</v>
      </c>
      <c r="X5" s="35">
        <v>0.2165</v>
      </c>
      <c r="Y5" s="29"/>
      <c r="Z5" s="29" t="s">
        <v>24</v>
      </c>
      <c r="AA5" s="34">
        <v>67</v>
      </c>
      <c r="AB5" s="34">
        <v>196</v>
      </c>
      <c r="AC5" s="35">
        <v>0.20119999999999999</v>
      </c>
    </row>
    <row r="6" spans="1:29" x14ac:dyDescent="0.2">
      <c r="A6" t="s">
        <v>25</v>
      </c>
      <c r="B6">
        <v>130</v>
      </c>
      <c r="C6" s="34">
        <f>SUM($B$4:B6)</f>
        <v>388</v>
      </c>
      <c r="D6" s="35">
        <f>Table1337[[#This Row],[Running Total]]/B20</f>
        <v>0.22743259085580306</v>
      </c>
      <c r="F6" s="29" t="s">
        <v>26</v>
      </c>
      <c r="G6" s="34">
        <v>85</v>
      </c>
      <c r="H6" s="34">
        <v>252</v>
      </c>
      <c r="I6" s="35">
        <v>0.21360000000000001</v>
      </c>
      <c r="J6" s="29"/>
      <c r="K6" s="29" t="s">
        <v>27</v>
      </c>
      <c r="L6" s="34">
        <v>98</v>
      </c>
      <c r="M6" s="34">
        <v>308</v>
      </c>
      <c r="N6" s="35">
        <v>0.28000000000000003</v>
      </c>
      <c r="O6" s="29"/>
      <c r="P6" s="29" t="s">
        <v>28</v>
      </c>
      <c r="Q6" s="34">
        <v>102</v>
      </c>
      <c r="R6" s="34">
        <v>230</v>
      </c>
      <c r="S6" s="35">
        <v>0.215</v>
      </c>
      <c r="T6" s="29"/>
      <c r="U6" s="29" t="s">
        <v>29</v>
      </c>
      <c r="V6" s="34">
        <v>85</v>
      </c>
      <c r="W6" s="34">
        <v>318</v>
      </c>
      <c r="X6" s="35">
        <v>0.29549999999999998</v>
      </c>
      <c r="Y6" s="29"/>
      <c r="Z6" s="29" t="s">
        <v>30</v>
      </c>
      <c r="AA6" s="34">
        <v>49</v>
      </c>
      <c r="AB6" s="34">
        <v>245</v>
      </c>
      <c r="AC6" s="35">
        <v>0.2515</v>
      </c>
    </row>
    <row r="7" spans="1:29" x14ac:dyDescent="0.2">
      <c r="A7" t="s">
        <v>31</v>
      </c>
      <c r="B7">
        <v>80</v>
      </c>
      <c r="C7" s="34">
        <f>SUM($B$4:B7)</f>
        <v>468</v>
      </c>
      <c r="D7" s="35">
        <f>Table1337[[#This Row],[Running Total]]/B20</f>
        <v>0.27432590855803046</v>
      </c>
      <c r="F7" s="29" t="s">
        <v>32</v>
      </c>
      <c r="G7" s="34">
        <v>87</v>
      </c>
      <c r="H7" s="34">
        <v>339</v>
      </c>
      <c r="I7" s="35">
        <v>0.2873</v>
      </c>
      <c r="J7" s="29"/>
      <c r="K7" s="29" t="s">
        <v>33</v>
      </c>
      <c r="L7" s="34">
        <v>52</v>
      </c>
      <c r="M7" s="34">
        <v>360</v>
      </c>
      <c r="N7" s="35">
        <v>0.32729999999999998</v>
      </c>
      <c r="O7" s="29"/>
      <c r="P7" s="29" t="s">
        <v>34</v>
      </c>
      <c r="Q7" s="34">
        <v>121</v>
      </c>
      <c r="R7" s="34">
        <v>351</v>
      </c>
      <c r="S7" s="35">
        <v>0.32800000000000001</v>
      </c>
      <c r="T7" s="29"/>
      <c r="U7" s="29" t="s">
        <v>35</v>
      </c>
      <c r="V7" s="34">
        <v>79</v>
      </c>
      <c r="W7" s="34">
        <v>397</v>
      </c>
      <c r="X7" s="35">
        <v>0.36899999999999999</v>
      </c>
      <c r="Y7" s="29"/>
      <c r="Z7" s="29" t="s">
        <v>36</v>
      </c>
      <c r="AA7" s="34">
        <v>96</v>
      </c>
      <c r="AB7" s="34">
        <v>341</v>
      </c>
      <c r="AC7" s="35">
        <v>0.35010000000000002</v>
      </c>
    </row>
    <row r="8" spans="1:29" x14ac:dyDescent="0.2">
      <c r="A8" t="s">
        <v>37</v>
      </c>
      <c r="B8">
        <v>103</v>
      </c>
      <c r="C8" s="34">
        <f>SUM($B$4:B8)</f>
        <v>571</v>
      </c>
      <c r="D8" s="35">
        <f>Table1337[[#This Row],[Running Total]]/B20</f>
        <v>0.33470105509964831</v>
      </c>
      <c r="F8" s="29" t="s">
        <v>38</v>
      </c>
      <c r="G8" s="34">
        <v>35</v>
      </c>
      <c r="H8" s="34">
        <v>374</v>
      </c>
      <c r="I8" s="35">
        <v>0.31690000000000002</v>
      </c>
      <c r="J8" s="29"/>
      <c r="K8" s="29" t="s">
        <v>39</v>
      </c>
      <c r="L8" s="34">
        <v>67</v>
      </c>
      <c r="M8" s="34">
        <v>427</v>
      </c>
      <c r="N8" s="35">
        <v>0.38819999999999999</v>
      </c>
      <c r="O8" s="29"/>
      <c r="P8" s="29" t="s">
        <v>40</v>
      </c>
      <c r="Q8" s="34">
        <v>34</v>
      </c>
      <c r="R8" s="34">
        <v>385</v>
      </c>
      <c r="S8" s="35">
        <v>0.35980000000000001</v>
      </c>
      <c r="T8" s="29"/>
      <c r="U8" s="29" t="s">
        <v>41</v>
      </c>
      <c r="V8" s="34">
        <v>42</v>
      </c>
      <c r="W8" s="34">
        <v>439</v>
      </c>
      <c r="X8" s="35">
        <v>0.40799999999999997</v>
      </c>
      <c r="Y8" s="29"/>
      <c r="Z8" s="29" t="s">
        <v>42</v>
      </c>
      <c r="AA8" s="34">
        <v>28</v>
      </c>
      <c r="AB8" s="34">
        <v>369</v>
      </c>
      <c r="AC8" s="35">
        <v>0.37890000000000001</v>
      </c>
    </row>
    <row r="9" spans="1:29" x14ac:dyDescent="0.2">
      <c r="A9" s="29" t="s">
        <v>43</v>
      </c>
      <c r="B9" s="34"/>
      <c r="C9" s="34"/>
      <c r="D9" s="35"/>
      <c r="F9" s="29" t="s">
        <v>44</v>
      </c>
      <c r="G9" s="34">
        <v>153</v>
      </c>
      <c r="H9" s="34">
        <v>527</v>
      </c>
      <c r="I9" s="35">
        <v>0.4466</v>
      </c>
      <c r="J9" s="29"/>
      <c r="K9" s="29" t="s">
        <v>45</v>
      </c>
      <c r="L9" s="34">
        <v>105</v>
      </c>
      <c r="M9" s="34">
        <v>532</v>
      </c>
      <c r="N9" s="35">
        <v>0.48359999999999997</v>
      </c>
      <c r="O9" s="29"/>
      <c r="P9" s="29" t="s">
        <v>46</v>
      </c>
      <c r="Q9" s="34">
        <v>52</v>
      </c>
      <c r="R9" s="34">
        <v>437</v>
      </c>
      <c r="S9" s="35">
        <v>0.40839999999999999</v>
      </c>
      <c r="T9" s="29"/>
      <c r="U9" s="29" t="s">
        <v>47</v>
      </c>
      <c r="V9" s="34">
        <v>53</v>
      </c>
      <c r="W9" s="34">
        <v>492</v>
      </c>
      <c r="X9" s="35">
        <v>0.4572</v>
      </c>
      <c r="Y9" s="29"/>
      <c r="Z9" s="29" t="s">
        <v>48</v>
      </c>
      <c r="AA9" s="34">
        <v>43</v>
      </c>
      <c r="AB9" s="34">
        <v>412</v>
      </c>
      <c r="AC9" s="35">
        <v>0.42299999999999999</v>
      </c>
    </row>
    <row r="10" spans="1:29" x14ac:dyDescent="0.2">
      <c r="A10" s="29" t="s">
        <v>49</v>
      </c>
      <c r="B10" s="34"/>
      <c r="C10" s="34"/>
      <c r="D10" s="35"/>
      <c r="F10" s="29" t="s">
        <v>50</v>
      </c>
      <c r="G10" s="34">
        <v>92</v>
      </c>
      <c r="H10" s="34">
        <v>619</v>
      </c>
      <c r="I10" s="35">
        <v>0.52459999999999996</v>
      </c>
      <c r="J10" s="29"/>
      <c r="K10" s="29" t="s">
        <v>51</v>
      </c>
      <c r="L10" s="34">
        <v>88</v>
      </c>
      <c r="M10" s="34">
        <v>620</v>
      </c>
      <c r="N10" s="35">
        <v>0.56359999999999999</v>
      </c>
      <c r="O10" s="29"/>
      <c r="P10" s="29" t="s">
        <v>52</v>
      </c>
      <c r="Q10" s="34">
        <v>64</v>
      </c>
      <c r="R10" s="34">
        <v>501</v>
      </c>
      <c r="S10" s="35">
        <v>0.46820000000000001</v>
      </c>
      <c r="T10" s="29"/>
      <c r="U10" s="29" t="s">
        <v>53</v>
      </c>
      <c r="V10" s="34">
        <v>126</v>
      </c>
      <c r="W10" s="34">
        <v>618</v>
      </c>
      <c r="X10" s="35">
        <v>0.57430000000000003</v>
      </c>
      <c r="Y10" s="29"/>
      <c r="Z10" s="29" t="s">
        <v>54</v>
      </c>
      <c r="AA10" s="34">
        <v>61</v>
      </c>
      <c r="AB10" s="34">
        <v>473</v>
      </c>
      <c r="AC10" s="35">
        <v>0.48559999999999998</v>
      </c>
    </row>
    <row r="11" spans="1:29" x14ac:dyDescent="0.2">
      <c r="A11" s="29" t="s">
        <v>55</v>
      </c>
      <c r="B11" s="34"/>
      <c r="C11" s="34"/>
      <c r="D11" s="35"/>
      <c r="F11" s="29" t="s">
        <v>56</v>
      </c>
      <c r="G11" s="34">
        <v>110</v>
      </c>
      <c r="H11" s="34">
        <v>729</v>
      </c>
      <c r="I11" s="35">
        <v>0.61780000000000002</v>
      </c>
      <c r="J11" s="29"/>
      <c r="K11" s="29" t="s">
        <v>57</v>
      </c>
      <c r="L11" s="34">
        <v>86</v>
      </c>
      <c r="M11" s="34">
        <v>706</v>
      </c>
      <c r="N11" s="35">
        <v>0.64180000000000004</v>
      </c>
      <c r="O11" s="29"/>
      <c r="P11" s="29" t="s">
        <v>58</v>
      </c>
      <c r="Q11" s="34">
        <v>151</v>
      </c>
      <c r="R11" s="34">
        <v>652</v>
      </c>
      <c r="S11" s="35">
        <v>0.60929999999999995</v>
      </c>
      <c r="T11" s="29"/>
      <c r="U11" s="29" t="s">
        <v>59</v>
      </c>
      <c r="V11" s="34">
        <v>132</v>
      </c>
      <c r="W11" s="34">
        <v>750</v>
      </c>
      <c r="X11" s="35">
        <v>0.69699999999999995</v>
      </c>
      <c r="Y11" s="29"/>
      <c r="Z11" s="29" t="s">
        <v>60</v>
      </c>
      <c r="AA11" s="34">
        <v>147</v>
      </c>
      <c r="AB11" s="34">
        <v>620</v>
      </c>
      <c r="AC11" s="35">
        <v>0.63660000000000005</v>
      </c>
    </row>
    <row r="12" spans="1:29" x14ac:dyDescent="0.2">
      <c r="A12" s="29" t="s">
        <v>61</v>
      </c>
      <c r="B12" s="34"/>
      <c r="C12" s="34"/>
      <c r="D12" s="35"/>
      <c r="F12" s="29" t="s">
        <v>62</v>
      </c>
      <c r="G12" s="34">
        <v>104</v>
      </c>
      <c r="H12" s="34">
        <v>833</v>
      </c>
      <c r="I12" s="35">
        <v>0.70589999999999997</v>
      </c>
      <c r="J12" s="29"/>
      <c r="K12" s="29" t="s">
        <v>63</v>
      </c>
      <c r="L12" s="34">
        <v>89</v>
      </c>
      <c r="M12" s="34">
        <v>795</v>
      </c>
      <c r="N12" s="35">
        <v>0.72270000000000001</v>
      </c>
      <c r="O12" s="29"/>
      <c r="P12" s="29" t="s">
        <v>64</v>
      </c>
      <c r="Q12" s="34">
        <v>80</v>
      </c>
      <c r="R12" s="34">
        <v>732</v>
      </c>
      <c r="S12" s="35">
        <v>0.68410000000000004</v>
      </c>
      <c r="T12" s="29"/>
      <c r="U12" s="29" t="s">
        <v>65</v>
      </c>
      <c r="V12" s="34">
        <v>83</v>
      </c>
      <c r="W12" s="34">
        <v>833</v>
      </c>
      <c r="X12" s="35">
        <v>0.7742</v>
      </c>
      <c r="Y12" s="29"/>
      <c r="Z12" s="29" t="s">
        <v>66</v>
      </c>
      <c r="AA12" s="34">
        <v>113</v>
      </c>
      <c r="AB12" s="34">
        <v>733</v>
      </c>
      <c r="AC12" s="35">
        <v>0.75260000000000005</v>
      </c>
    </row>
    <row r="13" spans="1:29" x14ac:dyDescent="0.2">
      <c r="A13" s="29" t="s">
        <v>67</v>
      </c>
      <c r="B13" s="34"/>
      <c r="C13" s="34"/>
      <c r="D13" s="35"/>
      <c r="F13" s="29" t="s">
        <v>68</v>
      </c>
      <c r="G13" s="34">
        <v>79</v>
      </c>
      <c r="H13" s="34">
        <v>912</v>
      </c>
      <c r="I13" s="35">
        <v>0.77290000000000003</v>
      </c>
      <c r="J13" s="29"/>
      <c r="K13" s="29" t="s">
        <v>69</v>
      </c>
      <c r="L13" s="34">
        <v>54</v>
      </c>
      <c r="M13" s="34">
        <v>849</v>
      </c>
      <c r="N13" s="35">
        <v>0.77180000000000004</v>
      </c>
      <c r="O13" s="29"/>
      <c r="P13" s="29" t="s">
        <v>70</v>
      </c>
      <c r="Q13" s="34">
        <v>124</v>
      </c>
      <c r="R13" s="34">
        <v>856</v>
      </c>
      <c r="S13" s="35">
        <v>0.8</v>
      </c>
      <c r="T13" s="29"/>
      <c r="U13" s="29" t="s">
        <v>71</v>
      </c>
      <c r="V13" s="34">
        <v>54</v>
      </c>
      <c r="W13" s="34">
        <v>887</v>
      </c>
      <c r="X13" s="35">
        <v>0.82430000000000003</v>
      </c>
      <c r="Y13" s="29"/>
      <c r="Z13" s="29" t="s">
        <v>72</v>
      </c>
      <c r="AA13" s="34">
        <v>38</v>
      </c>
      <c r="AB13" s="34">
        <v>771</v>
      </c>
      <c r="AC13" s="35">
        <v>0.79159999999999997</v>
      </c>
    </row>
    <row r="14" spans="1:29" x14ac:dyDescent="0.2">
      <c r="A14" s="29" t="s">
        <v>73</v>
      </c>
      <c r="B14" s="34"/>
      <c r="C14" s="34"/>
      <c r="D14" s="35"/>
      <c r="F14" s="29" t="s">
        <v>74</v>
      </c>
      <c r="G14" s="34">
        <v>59</v>
      </c>
      <c r="H14" s="34">
        <v>971</v>
      </c>
      <c r="I14" s="35">
        <v>0.82289999999999996</v>
      </c>
      <c r="J14" s="29"/>
      <c r="K14" s="29" t="s">
        <v>75</v>
      </c>
      <c r="L14" s="34">
        <v>54</v>
      </c>
      <c r="M14" s="34">
        <v>903</v>
      </c>
      <c r="N14" s="35">
        <v>0.82089999999999996</v>
      </c>
      <c r="O14" s="29"/>
      <c r="P14" s="29" t="s">
        <v>76</v>
      </c>
      <c r="Q14" s="34">
        <v>60</v>
      </c>
      <c r="R14" s="34">
        <v>916</v>
      </c>
      <c r="S14" s="35">
        <v>0.85609999999999997</v>
      </c>
      <c r="T14" s="29"/>
      <c r="U14" s="29" t="s">
        <v>77</v>
      </c>
      <c r="V14" s="34">
        <v>52</v>
      </c>
      <c r="W14" s="34">
        <v>939</v>
      </c>
      <c r="X14" s="35">
        <v>0.87270000000000003</v>
      </c>
      <c r="Y14" s="29"/>
      <c r="Z14" s="29" t="s">
        <v>78</v>
      </c>
      <c r="AA14" s="34">
        <v>95</v>
      </c>
      <c r="AB14" s="34">
        <v>866</v>
      </c>
      <c r="AC14" s="35">
        <v>0.8891</v>
      </c>
    </row>
    <row r="15" spans="1:29" x14ac:dyDescent="0.2">
      <c r="A15" s="29" t="s">
        <v>79</v>
      </c>
      <c r="B15" s="34"/>
      <c r="C15" s="34"/>
      <c r="D15" s="35"/>
      <c r="F15" s="29" t="s">
        <v>80</v>
      </c>
      <c r="G15" s="34">
        <v>86</v>
      </c>
      <c r="H15" s="34">
        <v>1057</v>
      </c>
      <c r="I15" s="35">
        <v>0.89580000000000004</v>
      </c>
      <c r="J15" s="29"/>
      <c r="K15" s="29" t="s">
        <v>81</v>
      </c>
      <c r="L15" s="34">
        <v>121</v>
      </c>
      <c r="M15" s="34">
        <v>1024</v>
      </c>
      <c r="N15" s="35">
        <v>0.93089999999999995</v>
      </c>
      <c r="O15" s="29"/>
      <c r="P15" s="29" t="s">
        <v>82</v>
      </c>
      <c r="Q15" s="34">
        <v>69</v>
      </c>
      <c r="R15" s="34">
        <v>985</v>
      </c>
      <c r="S15" s="35">
        <v>0.92059999999999997</v>
      </c>
      <c r="T15" s="29"/>
      <c r="U15" s="29" t="s">
        <v>83</v>
      </c>
      <c r="V15" s="34">
        <v>100</v>
      </c>
      <c r="W15" s="34">
        <v>1039</v>
      </c>
      <c r="X15" s="35">
        <v>0.96560000000000001</v>
      </c>
      <c r="Y15" s="29"/>
      <c r="Z15" s="29" t="s">
        <v>84</v>
      </c>
      <c r="AA15" s="34">
        <v>33</v>
      </c>
      <c r="AB15" s="34">
        <v>899</v>
      </c>
      <c r="AC15" s="35">
        <v>0.92300000000000004</v>
      </c>
    </row>
    <row r="16" spans="1:29" x14ac:dyDescent="0.2">
      <c r="A16" s="29" t="s">
        <v>85</v>
      </c>
      <c r="B16" s="34"/>
      <c r="C16" s="34"/>
      <c r="D16" s="35"/>
      <c r="F16" s="29" t="s">
        <v>86</v>
      </c>
      <c r="G16" s="34">
        <v>42</v>
      </c>
      <c r="H16" s="34">
        <v>1099</v>
      </c>
      <c r="I16" s="35">
        <v>0.93140000000000001</v>
      </c>
      <c r="J16" s="29"/>
      <c r="K16" s="29" t="s">
        <v>87</v>
      </c>
      <c r="L16" s="34">
        <v>12</v>
      </c>
      <c r="M16" s="34">
        <v>1036</v>
      </c>
      <c r="N16" s="35">
        <v>0.94179999999999997</v>
      </c>
      <c r="O16" s="29"/>
      <c r="P16" s="29" t="s">
        <v>88</v>
      </c>
      <c r="Q16" s="34">
        <v>12</v>
      </c>
      <c r="R16" s="34">
        <v>997</v>
      </c>
      <c r="S16" s="35">
        <v>0.93179999999999996</v>
      </c>
      <c r="T16" s="29"/>
      <c r="U16" s="29" t="s">
        <v>89</v>
      </c>
      <c r="V16" s="34">
        <v>5</v>
      </c>
      <c r="W16" s="34">
        <v>1044</v>
      </c>
      <c r="X16" s="35">
        <v>0.97030000000000005</v>
      </c>
      <c r="Y16" s="29"/>
      <c r="Z16" s="29" t="s">
        <v>90</v>
      </c>
      <c r="AA16" s="34">
        <v>33</v>
      </c>
      <c r="AB16" s="34">
        <v>932</v>
      </c>
      <c r="AC16" s="35">
        <v>0.95689999999999997</v>
      </c>
    </row>
    <row r="17" spans="1:38" x14ac:dyDescent="0.2">
      <c r="A17" s="29" t="s">
        <v>91</v>
      </c>
      <c r="B17" s="34"/>
      <c r="C17" s="34"/>
      <c r="D17" s="35"/>
      <c r="F17" s="29" t="s">
        <v>19</v>
      </c>
      <c r="G17" s="34">
        <v>29</v>
      </c>
      <c r="H17" s="34">
        <v>1128</v>
      </c>
      <c r="I17" s="35">
        <v>0.95589999999999997</v>
      </c>
      <c r="J17" s="29"/>
      <c r="K17" s="29" t="s">
        <v>20</v>
      </c>
      <c r="L17" s="34">
        <v>2</v>
      </c>
      <c r="M17" s="34">
        <v>1038</v>
      </c>
      <c r="N17" s="35">
        <v>0.94359999999999999</v>
      </c>
      <c r="O17" s="29"/>
      <c r="P17" s="29" t="s">
        <v>21</v>
      </c>
      <c r="Q17" s="34">
        <v>10</v>
      </c>
      <c r="R17" s="34">
        <v>1007</v>
      </c>
      <c r="S17" s="35">
        <v>0.94110000000000005</v>
      </c>
      <c r="T17" s="29"/>
      <c r="U17" s="29" t="s">
        <v>22</v>
      </c>
      <c r="V17" s="34">
        <v>4</v>
      </c>
      <c r="W17" s="34">
        <v>1048</v>
      </c>
      <c r="X17" s="35">
        <v>0.97399999999999998</v>
      </c>
      <c r="Y17" s="29"/>
      <c r="Z17" s="29" t="s">
        <v>23</v>
      </c>
      <c r="AA17" s="34">
        <v>3</v>
      </c>
      <c r="AB17" s="34">
        <v>935</v>
      </c>
      <c r="AC17" s="35">
        <v>0.96</v>
      </c>
    </row>
    <row r="18" spans="1:38" x14ac:dyDescent="0.2">
      <c r="A18" s="29" t="s">
        <v>92</v>
      </c>
      <c r="B18" s="34"/>
      <c r="C18" s="34"/>
      <c r="D18" s="35"/>
      <c r="F18" s="29" t="s">
        <v>93</v>
      </c>
      <c r="G18" s="34">
        <v>7</v>
      </c>
      <c r="H18" s="34">
        <v>1135</v>
      </c>
      <c r="I18" s="35">
        <v>0.96189999999999998</v>
      </c>
      <c r="J18" s="29"/>
      <c r="K18" s="29" t="s">
        <v>94</v>
      </c>
      <c r="L18" s="34">
        <v>15</v>
      </c>
      <c r="M18" s="34">
        <v>1053</v>
      </c>
      <c r="N18" s="35">
        <v>0.95730000000000004</v>
      </c>
      <c r="O18" s="29"/>
      <c r="P18" s="29" t="s">
        <v>95</v>
      </c>
      <c r="Q18" s="34">
        <v>7</v>
      </c>
      <c r="R18" s="34">
        <v>1014</v>
      </c>
      <c r="S18" s="35">
        <v>0.94769999999999999</v>
      </c>
      <c r="T18" s="29"/>
      <c r="U18" s="29" t="s">
        <v>96</v>
      </c>
      <c r="V18" s="34">
        <v>6</v>
      </c>
      <c r="W18" s="34">
        <v>1054</v>
      </c>
      <c r="X18" s="35">
        <v>0.97960000000000003</v>
      </c>
      <c r="Y18" s="29"/>
      <c r="Z18" s="29" t="s">
        <v>97</v>
      </c>
      <c r="AA18" s="34">
        <v>7</v>
      </c>
      <c r="AB18" s="34">
        <v>942</v>
      </c>
      <c r="AC18" s="35">
        <v>0.96709999999999996</v>
      </c>
    </row>
    <row r="19" spans="1:38" x14ac:dyDescent="0.2">
      <c r="A19" s="36" t="s">
        <v>98</v>
      </c>
      <c r="B19" s="34"/>
      <c r="C19" s="34"/>
      <c r="D19" s="34"/>
      <c r="F19" s="36" t="s">
        <v>98</v>
      </c>
      <c r="G19" s="34">
        <v>1128</v>
      </c>
      <c r="H19" s="34"/>
      <c r="I19" s="34"/>
      <c r="J19" s="29"/>
      <c r="K19" s="36" t="s">
        <v>98</v>
      </c>
      <c r="L19" s="34">
        <v>1038</v>
      </c>
      <c r="M19" s="34"/>
      <c r="N19" s="34"/>
      <c r="O19" s="29"/>
      <c r="P19" s="36" t="s">
        <v>98</v>
      </c>
      <c r="Q19" s="34">
        <v>1007</v>
      </c>
      <c r="R19" s="34"/>
      <c r="S19" s="34"/>
      <c r="T19" s="29"/>
      <c r="U19" s="36" t="s">
        <v>98</v>
      </c>
      <c r="V19" s="34">
        <v>1048</v>
      </c>
      <c r="W19" s="34"/>
      <c r="X19" s="34"/>
      <c r="Y19" s="29"/>
      <c r="Z19" s="36" t="s">
        <v>98</v>
      </c>
      <c r="AA19" s="34">
        <v>935</v>
      </c>
      <c r="AB19" s="34"/>
      <c r="AC19" s="34"/>
      <c r="AI19" s="91"/>
    </row>
    <row r="20" spans="1:38" x14ac:dyDescent="0.2">
      <c r="A20" t="s">
        <v>99</v>
      </c>
      <c r="B20">
        <v>1706</v>
      </c>
    </row>
    <row r="22" spans="1:38" ht="19" x14ac:dyDescent="0.25">
      <c r="A22" s="28" t="s">
        <v>100</v>
      </c>
    </row>
    <row r="23" spans="1:38" x14ac:dyDescent="0.2">
      <c r="A23" s="12" t="s">
        <v>101</v>
      </c>
      <c r="B23" s="13" t="s">
        <v>102</v>
      </c>
      <c r="C23" s="13" t="s">
        <v>103</v>
      </c>
      <c r="D23" s="13" t="s">
        <v>104</v>
      </c>
      <c r="E23" s="13" t="s">
        <v>105</v>
      </c>
      <c r="F23" s="13" t="s">
        <v>106</v>
      </c>
      <c r="G23" s="13" t="s">
        <v>107</v>
      </c>
      <c r="H23" s="13" t="s">
        <v>108</v>
      </c>
      <c r="I23" s="13" t="s">
        <v>109</v>
      </c>
      <c r="J23" s="13" t="s">
        <v>110</v>
      </c>
      <c r="K23" s="13" t="s">
        <v>111</v>
      </c>
      <c r="L23" s="13" t="s">
        <v>112</v>
      </c>
      <c r="M23" s="13" t="s">
        <v>113</v>
      </c>
      <c r="N23" s="13" t="s">
        <v>114</v>
      </c>
      <c r="O23" s="13" t="s">
        <v>115</v>
      </c>
      <c r="P23" s="13" t="s">
        <v>116</v>
      </c>
      <c r="Q23" s="13" t="s">
        <v>117</v>
      </c>
      <c r="R23" s="13" t="s">
        <v>118</v>
      </c>
      <c r="S23" s="13" t="s">
        <v>119</v>
      </c>
      <c r="T23" s="13" t="s">
        <v>120</v>
      </c>
      <c r="U23" s="13" t="s">
        <v>121</v>
      </c>
      <c r="V23" s="13" t="s">
        <v>122</v>
      </c>
      <c r="W23" s="13" t="s">
        <v>123</v>
      </c>
      <c r="X23" s="13" t="s">
        <v>124</v>
      </c>
      <c r="Y23" s="13" t="s">
        <v>125</v>
      </c>
      <c r="Z23" s="12" t="s">
        <v>205</v>
      </c>
      <c r="AA23" s="13" t="s">
        <v>206</v>
      </c>
      <c r="AB23" s="13" t="s">
        <v>207</v>
      </c>
      <c r="AC23" s="13" t="s">
        <v>208</v>
      </c>
      <c r="AD23" s="80" t="s">
        <v>210</v>
      </c>
      <c r="AE23" s="80" t="s">
        <v>211</v>
      </c>
      <c r="AF23" s="80" t="s">
        <v>212</v>
      </c>
      <c r="AG23" s="80" t="s">
        <v>213</v>
      </c>
      <c r="AH23" s="12" t="s">
        <v>214</v>
      </c>
      <c r="AI23" s="80" t="s">
        <v>215</v>
      </c>
      <c r="AJ23" s="80" t="s">
        <v>216</v>
      </c>
      <c r="AK23" s="80" t="s">
        <v>217</v>
      </c>
      <c r="AL23" s="80" t="s">
        <v>218</v>
      </c>
    </row>
    <row r="24" spans="1:38" x14ac:dyDescent="0.2">
      <c r="A24" s="12" t="s">
        <v>10</v>
      </c>
      <c r="B24" s="14">
        <v>0.19320000000000001</v>
      </c>
      <c r="C24" s="14">
        <v>0.19439999999999999</v>
      </c>
      <c r="D24" s="14">
        <v>0.21529999999999999</v>
      </c>
      <c r="E24" s="14">
        <v>0.24410000000000001</v>
      </c>
      <c r="F24" s="14">
        <v>0.25679999999999997</v>
      </c>
      <c r="G24" s="15">
        <v>0.27129999999999999</v>
      </c>
      <c r="H24" s="14">
        <v>0.28649999999999998</v>
      </c>
      <c r="I24" s="14">
        <v>0.29120000000000001</v>
      </c>
      <c r="J24" s="14">
        <v>0.3105</v>
      </c>
      <c r="K24" s="14">
        <v>0.33510000000000001</v>
      </c>
      <c r="L24" s="14">
        <v>0.3422</v>
      </c>
      <c r="M24" s="14">
        <v>0.34300000000000003</v>
      </c>
      <c r="N24" s="14">
        <v>0.35589999999999999</v>
      </c>
      <c r="O24" s="14">
        <v>0.38009999999999999</v>
      </c>
      <c r="P24" s="14">
        <v>0.40350000000000003</v>
      </c>
      <c r="Q24" s="2">
        <v>0.42349999999999999</v>
      </c>
      <c r="R24" s="2">
        <v>0.44479999999999997</v>
      </c>
      <c r="S24" s="2">
        <v>0.45629999999999998</v>
      </c>
      <c r="T24" s="2">
        <v>0.47889999999999999</v>
      </c>
      <c r="U24" s="2">
        <v>0.48730000000000001</v>
      </c>
      <c r="V24" s="2">
        <v>0.50460000000000005</v>
      </c>
      <c r="W24" s="2">
        <v>0.54059999999999997</v>
      </c>
      <c r="X24" s="2">
        <v>0.56110000000000004</v>
      </c>
      <c r="Y24" s="2">
        <v>0.58179999999999998</v>
      </c>
      <c r="Z24" s="2">
        <v>0.61229999999999996</v>
      </c>
      <c r="AA24" s="2">
        <v>0.65620000000000001</v>
      </c>
      <c r="AB24" s="2">
        <v>0.68679999999999997</v>
      </c>
      <c r="AC24" s="81">
        <v>0.70650000000000002</v>
      </c>
      <c r="AD24" s="82">
        <v>0.71860000000000002</v>
      </c>
      <c r="AE24" s="2">
        <v>0.73740000000000006</v>
      </c>
      <c r="AF24" s="2">
        <v>0.75459999999999994</v>
      </c>
      <c r="AG24" s="2">
        <v>0.77900000000000003</v>
      </c>
      <c r="AH24" s="2">
        <v>0.7913</v>
      </c>
      <c r="AI24" s="2">
        <v>0.81579999999999997</v>
      </c>
      <c r="AJ24" s="87">
        <v>0.84120000000000006</v>
      </c>
      <c r="AK24" s="2">
        <v>0.84810000000000008</v>
      </c>
      <c r="AL24" s="2">
        <v>0.85809999999999997</v>
      </c>
    </row>
    <row r="25" spans="1:38" x14ac:dyDescent="0.2">
      <c r="S25" s="75"/>
      <c r="T25" s="75"/>
      <c r="U25" s="75"/>
      <c r="V25" s="75"/>
      <c r="W25" s="75"/>
      <c r="X25" s="75"/>
      <c r="Y25" s="75"/>
    </row>
    <row r="26" spans="1:38" x14ac:dyDescent="0.2">
      <c r="A26" s="12" t="s">
        <v>126</v>
      </c>
      <c r="B26" s="13" t="s">
        <v>102</v>
      </c>
      <c r="C26" s="13" t="s">
        <v>103</v>
      </c>
      <c r="D26" s="13" t="s">
        <v>104</v>
      </c>
      <c r="E26" s="13" t="s">
        <v>105</v>
      </c>
      <c r="F26" s="13" t="s">
        <v>106</v>
      </c>
      <c r="G26" s="13" t="s">
        <v>107</v>
      </c>
      <c r="H26" s="13" t="s">
        <v>108</v>
      </c>
      <c r="I26" s="13" t="s">
        <v>109</v>
      </c>
      <c r="J26" s="13" t="s">
        <v>110</v>
      </c>
      <c r="K26" s="13" t="s">
        <v>111</v>
      </c>
      <c r="L26" s="13" t="s">
        <v>112</v>
      </c>
      <c r="M26" s="13" t="s">
        <v>113</v>
      </c>
      <c r="N26" s="13" t="s">
        <v>114</v>
      </c>
      <c r="O26" s="13" t="s">
        <v>115</v>
      </c>
      <c r="P26" s="13" t="s">
        <v>116</v>
      </c>
      <c r="Q26" s="13" t="s">
        <v>117</v>
      </c>
      <c r="R26" s="13" t="s">
        <v>118</v>
      </c>
      <c r="S26" s="13" t="s">
        <v>119</v>
      </c>
      <c r="T26" s="13" t="s">
        <v>120</v>
      </c>
      <c r="U26" s="13" t="s">
        <v>121</v>
      </c>
      <c r="V26" s="13" t="s">
        <v>122</v>
      </c>
      <c r="W26" s="13" t="s">
        <v>123</v>
      </c>
      <c r="X26" s="13" t="s">
        <v>124</v>
      </c>
      <c r="Y26" s="13" t="s">
        <v>125</v>
      </c>
      <c r="Z26" s="12" t="s">
        <v>205</v>
      </c>
      <c r="AA26" s="13" t="s">
        <v>206</v>
      </c>
      <c r="AB26" s="13" t="s">
        <v>207</v>
      </c>
      <c r="AC26" s="13" t="s">
        <v>208</v>
      </c>
      <c r="AD26" s="80" t="s">
        <v>210</v>
      </c>
      <c r="AE26" s="80" t="s">
        <v>211</v>
      </c>
      <c r="AF26" s="80" t="s">
        <v>212</v>
      </c>
      <c r="AG26" s="80" t="s">
        <v>213</v>
      </c>
      <c r="AH26" s="12" t="s">
        <v>214</v>
      </c>
      <c r="AI26" s="80" t="s">
        <v>215</v>
      </c>
      <c r="AJ26" s="80" t="s">
        <v>216</v>
      </c>
      <c r="AK26" s="80" t="s">
        <v>217</v>
      </c>
      <c r="AL26" s="80" t="s">
        <v>218</v>
      </c>
    </row>
    <row r="27" spans="1:38" x14ac:dyDescent="0.2">
      <c r="A27" s="12" t="s">
        <v>127</v>
      </c>
      <c r="B27" s="16">
        <v>345</v>
      </c>
      <c r="C27" s="16">
        <v>346</v>
      </c>
      <c r="D27" s="16">
        <v>383</v>
      </c>
      <c r="E27" s="16">
        <v>434</v>
      </c>
      <c r="F27" s="16">
        <v>454</v>
      </c>
      <c r="G27" s="16">
        <v>472</v>
      </c>
      <c r="H27" s="16">
        <v>499</v>
      </c>
      <c r="I27" s="16">
        <v>504</v>
      </c>
      <c r="J27" s="16">
        <v>534</v>
      </c>
      <c r="K27" s="16">
        <v>580</v>
      </c>
      <c r="L27" s="16">
        <v>592</v>
      </c>
      <c r="M27" s="16">
        <v>594</v>
      </c>
      <c r="N27" s="16">
        <v>614</v>
      </c>
      <c r="O27" s="16">
        <v>656</v>
      </c>
      <c r="P27" s="16">
        <v>692</v>
      </c>
      <c r="Q27" s="32">
        <v>722</v>
      </c>
      <c r="R27" s="73">
        <v>753</v>
      </c>
      <c r="S27" s="76">
        <v>768</v>
      </c>
      <c r="T27" s="76">
        <v>794</v>
      </c>
      <c r="U27" s="76">
        <v>804</v>
      </c>
      <c r="V27" s="76">
        <v>825</v>
      </c>
      <c r="W27" s="4">
        <v>872</v>
      </c>
      <c r="X27" s="4">
        <v>895</v>
      </c>
      <c r="Y27" s="4">
        <v>910</v>
      </c>
      <c r="Z27" s="4">
        <v>935</v>
      </c>
      <c r="AA27" s="79">
        <v>983</v>
      </c>
      <c r="AB27" s="79">
        <v>1013</v>
      </c>
      <c r="AC27" s="79">
        <v>1028</v>
      </c>
      <c r="AD27" s="79">
        <v>1042</v>
      </c>
      <c r="AE27" s="4">
        <v>1056</v>
      </c>
      <c r="AF27" s="4">
        <v>1064</v>
      </c>
      <c r="AG27" s="4">
        <v>1093</v>
      </c>
      <c r="AH27" s="4">
        <v>1096</v>
      </c>
      <c r="AI27" s="4">
        <v>1116</v>
      </c>
      <c r="AJ27" s="4">
        <v>1128</v>
      </c>
      <c r="AK27" s="4">
        <v>1122</v>
      </c>
      <c r="AL27" s="4">
        <v>1125</v>
      </c>
    </row>
    <row r="28" spans="1:38" x14ac:dyDescent="0.2">
      <c r="A28" s="12" t="s">
        <v>128</v>
      </c>
      <c r="B28" s="16">
        <v>677</v>
      </c>
      <c r="C28" s="16">
        <v>678</v>
      </c>
      <c r="D28" s="16">
        <v>666</v>
      </c>
      <c r="E28" s="16">
        <v>647</v>
      </c>
      <c r="F28" s="16">
        <v>656</v>
      </c>
      <c r="G28" s="16">
        <v>673</v>
      </c>
      <c r="H28" s="16">
        <v>677</v>
      </c>
      <c r="I28" s="16">
        <v>677</v>
      </c>
      <c r="J28" s="16">
        <v>670</v>
      </c>
      <c r="K28" s="16">
        <v>698</v>
      </c>
      <c r="L28" s="16">
        <v>692</v>
      </c>
      <c r="M28" s="16">
        <v>695</v>
      </c>
      <c r="N28" s="16">
        <v>695</v>
      </c>
      <c r="O28" s="16">
        <v>702</v>
      </c>
      <c r="P28" s="16">
        <v>698</v>
      </c>
      <c r="Q28" s="32">
        <v>694</v>
      </c>
      <c r="R28" s="73">
        <v>673</v>
      </c>
      <c r="S28" s="76">
        <v>671</v>
      </c>
      <c r="T28" s="76">
        <v>646</v>
      </c>
      <c r="U28" s="76">
        <v>645</v>
      </c>
      <c r="V28" s="76">
        <v>623</v>
      </c>
      <c r="W28" s="4">
        <v>575</v>
      </c>
      <c r="X28" s="4">
        <v>549</v>
      </c>
      <c r="Y28" s="4">
        <v>521</v>
      </c>
      <c r="Z28" s="4">
        <v>472</v>
      </c>
      <c r="AA28" s="79">
        <v>430</v>
      </c>
      <c r="AB28" s="79">
        <v>395</v>
      </c>
      <c r="AC28" s="79">
        <v>364</v>
      </c>
      <c r="AD28" s="79">
        <v>345</v>
      </c>
      <c r="AE28" s="4">
        <v>318</v>
      </c>
      <c r="AF28" s="4">
        <v>297</v>
      </c>
      <c r="AG28" s="4">
        <v>265</v>
      </c>
      <c r="AH28" s="4">
        <v>247</v>
      </c>
      <c r="AI28" s="4">
        <v>214</v>
      </c>
      <c r="AJ28" s="4">
        <v>187</v>
      </c>
      <c r="AK28" s="4">
        <v>179</v>
      </c>
      <c r="AL28" s="4">
        <v>165</v>
      </c>
    </row>
    <row r="29" spans="1:38" x14ac:dyDescent="0.2">
      <c r="A29" s="16" t="s">
        <v>129</v>
      </c>
      <c r="B29" s="16">
        <v>2</v>
      </c>
      <c r="C29" s="16">
        <v>2</v>
      </c>
      <c r="D29" s="16">
        <v>2</v>
      </c>
      <c r="E29" s="16">
        <v>2</v>
      </c>
      <c r="F29" s="16">
        <v>2</v>
      </c>
      <c r="G29" s="16">
        <v>3</v>
      </c>
      <c r="H29" s="16">
        <v>3</v>
      </c>
      <c r="I29" s="16">
        <v>3</v>
      </c>
      <c r="J29" s="16">
        <v>3</v>
      </c>
      <c r="K29" s="16">
        <v>2</v>
      </c>
      <c r="L29" s="16">
        <v>2</v>
      </c>
      <c r="M29" s="16">
        <v>2</v>
      </c>
      <c r="N29" s="16">
        <v>3</v>
      </c>
      <c r="O29" s="16">
        <v>2</v>
      </c>
      <c r="P29" s="16">
        <v>2</v>
      </c>
      <c r="Q29" s="32">
        <v>2</v>
      </c>
      <c r="R29" s="73">
        <v>2</v>
      </c>
      <c r="S29" s="76">
        <v>2</v>
      </c>
      <c r="T29" s="76">
        <v>2</v>
      </c>
      <c r="U29" s="76">
        <v>2</v>
      </c>
      <c r="V29" s="76">
        <v>2</v>
      </c>
      <c r="W29" s="4">
        <v>3</v>
      </c>
      <c r="X29" s="4">
        <v>4</v>
      </c>
      <c r="Y29" s="4">
        <v>4</v>
      </c>
      <c r="Z29" s="4">
        <v>7</v>
      </c>
      <c r="AA29" s="79">
        <v>7</v>
      </c>
      <c r="AB29" s="79">
        <v>7</v>
      </c>
      <c r="AC29" s="79">
        <v>6</v>
      </c>
      <c r="AD29" s="79">
        <v>7</v>
      </c>
      <c r="AE29" s="4">
        <v>6</v>
      </c>
      <c r="AF29" s="4">
        <v>6</v>
      </c>
      <c r="AG29" s="4">
        <v>6</v>
      </c>
      <c r="AH29" s="4">
        <v>6</v>
      </c>
      <c r="AI29" s="4">
        <v>9</v>
      </c>
      <c r="AJ29" s="4">
        <v>10</v>
      </c>
      <c r="AK29" s="4">
        <v>10</v>
      </c>
      <c r="AL29" s="4">
        <v>10</v>
      </c>
    </row>
    <row r="30" spans="1:38" x14ac:dyDescent="0.2">
      <c r="A30" s="12" t="s">
        <v>130</v>
      </c>
      <c r="B30" s="16">
        <v>764</v>
      </c>
      <c r="C30" s="16">
        <v>756</v>
      </c>
      <c r="D30" s="16">
        <v>730</v>
      </c>
      <c r="E30" s="16">
        <v>697</v>
      </c>
      <c r="F30" s="16">
        <v>658</v>
      </c>
      <c r="G30" s="16">
        <v>595</v>
      </c>
      <c r="H30" s="16">
        <v>566</v>
      </c>
      <c r="I30" s="16">
        <v>550</v>
      </c>
      <c r="J30" s="16">
        <v>516</v>
      </c>
      <c r="K30" s="16">
        <v>453</v>
      </c>
      <c r="L30" s="16">
        <v>446</v>
      </c>
      <c r="M30" s="16">
        <v>443</v>
      </c>
      <c r="N30" s="16">
        <v>416</v>
      </c>
      <c r="O30" s="16">
        <v>368</v>
      </c>
      <c r="P30" s="16">
        <v>325</v>
      </c>
      <c r="Q30" s="32">
        <v>289</v>
      </c>
      <c r="R30" s="73">
        <v>267</v>
      </c>
      <c r="S30" s="76">
        <v>244</v>
      </c>
      <c r="T30" s="76">
        <v>218</v>
      </c>
      <c r="U30" s="76">
        <v>201</v>
      </c>
      <c r="V30" s="76">
        <v>187</v>
      </c>
      <c r="W30" s="4">
        <v>166</v>
      </c>
      <c r="X30" s="4">
        <v>151</v>
      </c>
      <c r="Y30" s="4">
        <v>133</v>
      </c>
      <c r="Z30" s="4">
        <v>120</v>
      </c>
      <c r="AA30" s="79">
        <v>85</v>
      </c>
      <c r="AB30" s="79">
        <v>67</v>
      </c>
      <c r="AC30" s="79">
        <v>63</v>
      </c>
      <c r="AD30" s="79">
        <v>63</v>
      </c>
      <c r="AE30" s="4">
        <v>58</v>
      </c>
      <c r="AF30" s="4">
        <v>49</v>
      </c>
      <c r="AG30" s="4">
        <v>45</v>
      </c>
      <c r="AH30" s="4">
        <v>42</v>
      </c>
      <c r="AI30" s="4">
        <v>38</v>
      </c>
      <c r="AJ30" s="4">
        <v>26</v>
      </c>
      <c r="AK30" s="4">
        <v>22</v>
      </c>
      <c r="AL30" s="4">
        <v>21</v>
      </c>
    </row>
    <row r="31" spans="1:38" x14ac:dyDescent="0.2">
      <c r="A31" s="16" t="s">
        <v>131</v>
      </c>
      <c r="B31" s="16">
        <v>61</v>
      </c>
      <c r="C31" s="16">
        <v>62</v>
      </c>
      <c r="D31" s="16">
        <v>64</v>
      </c>
      <c r="E31" s="16">
        <v>64</v>
      </c>
      <c r="F31" s="16">
        <v>66</v>
      </c>
      <c r="G31" s="16">
        <v>66</v>
      </c>
      <c r="H31" s="16">
        <v>69</v>
      </c>
      <c r="I31" s="16">
        <v>69</v>
      </c>
      <c r="J31" s="16">
        <v>76</v>
      </c>
      <c r="K31" s="16">
        <v>81</v>
      </c>
      <c r="L31" s="16">
        <v>80</v>
      </c>
      <c r="M31" s="16">
        <v>79</v>
      </c>
      <c r="N31" s="16">
        <v>87</v>
      </c>
      <c r="O31" s="16">
        <v>87</v>
      </c>
      <c r="P31" s="16">
        <v>89</v>
      </c>
      <c r="Q31" s="32">
        <v>93</v>
      </c>
      <c r="R31" s="73">
        <v>94</v>
      </c>
      <c r="S31" s="76">
        <v>94</v>
      </c>
      <c r="T31" s="76">
        <v>98</v>
      </c>
      <c r="U31" s="76">
        <v>100</v>
      </c>
      <c r="V31" s="76">
        <v>101</v>
      </c>
      <c r="W31" s="4">
        <v>102</v>
      </c>
      <c r="X31" s="4">
        <v>104</v>
      </c>
      <c r="Y31" s="4">
        <v>113</v>
      </c>
      <c r="Z31" s="4">
        <v>119</v>
      </c>
      <c r="AA31" s="79">
        <v>119</v>
      </c>
      <c r="AB31" s="79">
        <v>119</v>
      </c>
      <c r="AC31" s="79">
        <v>119</v>
      </c>
      <c r="AD31" s="79">
        <v>121</v>
      </c>
      <c r="AE31" s="4">
        <v>121</v>
      </c>
      <c r="AF31" s="4">
        <v>120</v>
      </c>
      <c r="AG31" s="4">
        <v>119</v>
      </c>
      <c r="AH31" s="4">
        <v>120</v>
      </c>
      <c r="AI31" s="4">
        <v>124</v>
      </c>
      <c r="AJ31" s="4">
        <v>118</v>
      </c>
      <c r="AK31" s="4">
        <v>116</v>
      </c>
      <c r="AL31" s="4">
        <v>116</v>
      </c>
    </row>
    <row r="32" spans="1:38" x14ac:dyDescent="0.2">
      <c r="A32" s="16" t="s">
        <v>132</v>
      </c>
      <c r="B32" s="16">
        <v>8</v>
      </c>
      <c r="C32" s="16">
        <v>7</v>
      </c>
      <c r="D32" s="16">
        <v>7</v>
      </c>
      <c r="E32" s="16">
        <v>8</v>
      </c>
      <c r="F32" s="16">
        <v>9</v>
      </c>
      <c r="G32" s="16">
        <v>11</v>
      </c>
      <c r="H32" s="16">
        <v>11</v>
      </c>
      <c r="I32" s="16">
        <v>11</v>
      </c>
      <c r="J32" s="16">
        <v>13</v>
      </c>
      <c r="K32" s="16">
        <v>13</v>
      </c>
      <c r="L32" s="16">
        <v>13</v>
      </c>
      <c r="M32" s="16">
        <v>13</v>
      </c>
      <c r="N32" s="16">
        <v>13</v>
      </c>
      <c r="O32" s="16">
        <v>14</v>
      </c>
      <c r="P32" s="16">
        <v>15</v>
      </c>
      <c r="Q32" s="32">
        <v>16</v>
      </c>
      <c r="R32" s="73">
        <v>16</v>
      </c>
      <c r="S32" s="76">
        <v>17</v>
      </c>
      <c r="T32" s="76">
        <v>18</v>
      </c>
      <c r="U32" s="76">
        <v>18</v>
      </c>
      <c r="V32" s="76">
        <v>18</v>
      </c>
      <c r="W32" s="4">
        <v>18</v>
      </c>
      <c r="X32" s="4">
        <v>20</v>
      </c>
      <c r="Y32" s="4">
        <v>20</v>
      </c>
      <c r="Z32" s="4">
        <v>20</v>
      </c>
      <c r="AA32" s="79">
        <v>22</v>
      </c>
      <c r="AB32" s="79">
        <v>22</v>
      </c>
      <c r="AC32" s="79">
        <v>22</v>
      </c>
      <c r="AD32" s="79">
        <v>22</v>
      </c>
      <c r="AE32" s="4">
        <v>22</v>
      </c>
      <c r="AF32" s="4">
        <v>22</v>
      </c>
      <c r="AG32" s="4">
        <v>22</v>
      </c>
      <c r="AH32" s="4">
        <v>22</v>
      </c>
      <c r="AI32" s="4">
        <v>22</v>
      </c>
      <c r="AJ32" s="4">
        <v>24</v>
      </c>
      <c r="AK32" s="4">
        <v>23</v>
      </c>
      <c r="AL32" s="4">
        <v>22</v>
      </c>
    </row>
    <row r="33" spans="1:38" x14ac:dyDescent="0.2">
      <c r="A33" s="16" t="s">
        <v>133</v>
      </c>
      <c r="B33" s="16">
        <v>29</v>
      </c>
      <c r="C33" s="16">
        <v>29</v>
      </c>
      <c r="D33" s="16">
        <v>28</v>
      </c>
      <c r="E33" s="16">
        <v>28</v>
      </c>
      <c r="F33" s="16">
        <v>29</v>
      </c>
      <c r="G33" s="16">
        <v>27</v>
      </c>
      <c r="H33" s="16">
        <v>27</v>
      </c>
      <c r="I33" s="16">
        <v>28</v>
      </c>
      <c r="J33" s="16">
        <v>30</v>
      </c>
      <c r="K33" s="16">
        <v>31</v>
      </c>
      <c r="L33" s="16">
        <v>30</v>
      </c>
      <c r="M33" s="16">
        <v>30</v>
      </c>
      <c r="N33" s="16">
        <v>30</v>
      </c>
      <c r="O33" s="16">
        <v>32</v>
      </c>
      <c r="P33" s="16">
        <v>35</v>
      </c>
      <c r="Q33" s="32">
        <v>35</v>
      </c>
      <c r="R33" s="73">
        <v>38</v>
      </c>
      <c r="S33" s="76">
        <v>40</v>
      </c>
      <c r="T33" s="76">
        <v>44</v>
      </c>
      <c r="U33" s="76">
        <v>45</v>
      </c>
      <c r="V33" s="76">
        <v>46</v>
      </c>
      <c r="W33" s="4">
        <v>48</v>
      </c>
      <c r="X33" s="4">
        <v>52</v>
      </c>
      <c r="Y33" s="4">
        <v>65</v>
      </c>
      <c r="Z33" s="4">
        <v>79</v>
      </c>
      <c r="AA33" s="79">
        <v>77</v>
      </c>
      <c r="AB33" s="79">
        <v>91</v>
      </c>
      <c r="AC33" s="79">
        <v>91</v>
      </c>
      <c r="AD33" s="79">
        <v>94</v>
      </c>
      <c r="AE33" s="4">
        <v>93</v>
      </c>
      <c r="AF33" s="4">
        <v>93</v>
      </c>
      <c r="AG33" s="4">
        <v>96</v>
      </c>
      <c r="AH33" s="4">
        <v>98</v>
      </c>
      <c r="AI33" s="4">
        <v>102</v>
      </c>
      <c r="AJ33" s="4">
        <v>101</v>
      </c>
      <c r="AK33" s="4">
        <v>97</v>
      </c>
      <c r="AL33" s="4">
        <v>96</v>
      </c>
    </row>
    <row r="34" spans="1:38" x14ac:dyDescent="0.2">
      <c r="A34" s="16" t="s">
        <v>134</v>
      </c>
      <c r="B34" s="16">
        <v>9</v>
      </c>
      <c r="C34" s="16">
        <v>10</v>
      </c>
      <c r="D34" s="16">
        <v>10</v>
      </c>
      <c r="E34" s="16">
        <v>10</v>
      </c>
      <c r="F34" s="16">
        <v>12</v>
      </c>
      <c r="G34" s="16">
        <v>11</v>
      </c>
      <c r="H34" s="16">
        <v>14</v>
      </c>
      <c r="I34" s="16">
        <v>15</v>
      </c>
      <c r="J34" s="16">
        <v>16</v>
      </c>
      <c r="K34" s="16">
        <v>16</v>
      </c>
      <c r="L34" s="16">
        <v>16</v>
      </c>
      <c r="M34" s="16">
        <v>17</v>
      </c>
      <c r="N34" s="16">
        <v>17</v>
      </c>
      <c r="O34" s="16">
        <v>16</v>
      </c>
      <c r="P34" s="16">
        <v>17</v>
      </c>
      <c r="Q34" s="32">
        <v>17</v>
      </c>
      <c r="R34" s="73">
        <v>16</v>
      </c>
      <c r="S34" s="76">
        <v>13</v>
      </c>
      <c r="T34" s="76">
        <v>14</v>
      </c>
      <c r="U34" s="76">
        <v>16</v>
      </c>
      <c r="V34" s="76">
        <v>18</v>
      </c>
      <c r="W34" s="4">
        <v>18</v>
      </c>
      <c r="X34" s="4">
        <v>20</v>
      </c>
      <c r="Y34" s="4">
        <v>21</v>
      </c>
      <c r="Z34" s="4">
        <v>23</v>
      </c>
      <c r="AA34" s="79">
        <v>29</v>
      </c>
      <c r="AB34" s="79">
        <v>33</v>
      </c>
      <c r="AC34" s="79">
        <v>35</v>
      </c>
      <c r="AD34" s="79">
        <v>36</v>
      </c>
      <c r="AE34" s="4">
        <v>49</v>
      </c>
      <c r="AF34" s="4">
        <v>50</v>
      </c>
      <c r="AG34" s="4">
        <v>53</v>
      </c>
      <c r="AH34" s="4">
        <v>57</v>
      </c>
      <c r="AI34" s="4">
        <v>60</v>
      </c>
      <c r="AJ34" s="4">
        <v>59</v>
      </c>
      <c r="AK34" s="4">
        <v>59</v>
      </c>
      <c r="AL34" s="4">
        <v>59</v>
      </c>
    </row>
    <row r="35" spans="1:38" x14ac:dyDescent="0.2">
      <c r="A35" s="16" t="s">
        <v>135</v>
      </c>
      <c r="B35" s="16">
        <v>5</v>
      </c>
      <c r="C35" s="16">
        <v>5</v>
      </c>
      <c r="D35" s="16">
        <v>5</v>
      </c>
      <c r="E35" s="16">
        <v>5</v>
      </c>
      <c r="F35" s="16">
        <v>5</v>
      </c>
      <c r="G35" s="16">
        <v>7</v>
      </c>
      <c r="H35" s="16">
        <v>8</v>
      </c>
      <c r="I35" s="16">
        <v>8</v>
      </c>
      <c r="J35" s="16">
        <v>8</v>
      </c>
      <c r="K35" s="16">
        <v>8</v>
      </c>
      <c r="L35" s="16">
        <v>8</v>
      </c>
      <c r="M35" s="16">
        <v>8</v>
      </c>
      <c r="N35" s="16">
        <v>8</v>
      </c>
      <c r="O35" s="16">
        <v>8</v>
      </c>
      <c r="P35" s="16">
        <v>8</v>
      </c>
      <c r="Q35" s="32">
        <v>8</v>
      </c>
      <c r="R35" s="73">
        <v>7</v>
      </c>
      <c r="S35" s="76">
        <v>7</v>
      </c>
      <c r="T35" s="76">
        <v>7</v>
      </c>
      <c r="U35" s="76">
        <v>6</v>
      </c>
      <c r="V35" s="76">
        <v>7</v>
      </c>
      <c r="W35" s="4">
        <v>7</v>
      </c>
      <c r="X35" s="4">
        <v>8</v>
      </c>
      <c r="Y35" s="4">
        <v>8</v>
      </c>
      <c r="Z35" s="4">
        <v>8</v>
      </c>
      <c r="AA35" s="79">
        <v>9</v>
      </c>
      <c r="AB35" s="79">
        <v>9</v>
      </c>
      <c r="AC35" s="79">
        <v>8</v>
      </c>
      <c r="AD35" s="79">
        <v>8</v>
      </c>
      <c r="AE35" s="4">
        <v>8</v>
      </c>
      <c r="AF35" s="4">
        <v>8</v>
      </c>
      <c r="AG35" s="4">
        <v>7</v>
      </c>
      <c r="AH35" s="4">
        <v>7</v>
      </c>
      <c r="AI35" s="4">
        <v>7</v>
      </c>
      <c r="AJ35" s="4">
        <v>8</v>
      </c>
      <c r="AK35" s="4">
        <v>7</v>
      </c>
      <c r="AL35" s="4">
        <v>7</v>
      </c>
    </row>
    <row r="36" spans="1:38" x14ac:dyDescent="0.2">
      <c r="A36" s="16" t="s">
        <v>136</v>
      </c>
      <c r="B36" s="16">
        <v>57</v>
      </c>
      <c r="C36" s="16">
        <v>58</v>
      </c>
      <c r="D36" s="16">
        <v>59</v>
      </c>
      <c r="E36" s="16">
        <v>59</v>
      </c>
      <c r="F36" s="16">
        <v>59</v>
      </c>
      <c r="G36" s="10">
        <v>61</v>
      </c>
      <c r="H36" s="10">
        <v>69</v>
      </c>
      <c r="I36" s="10">
        <v>74</v>
      </c>
      <c r="J36" s="10">
        <v>76</v>
      </c>
      <c r="K36" s="10">
        <v>78</v>
      </c>
      <c r="L36" s="10">
        <v>78</v>
      </c>
      <c r="M36" s="10">
        <v>77</v>
      </c>
      <c r="N36" s="10">
        <v>77</v>
      </c>
      <c r="O36" s="10">
        <v>79</v>
      </c>
      <c r="P36" s="11">
        <v>79</v>
      </c>
      <c r="Q36" s="33">
        <v>79</v>
      </c>
      <c r="R36" s="74">
        <v>79</v>
      </c>
      <c r="S36" s="77">
        <v>80</v>
      </c>
      <c r="T36" s="77">
        <v>82</v>
      </c>
      <c r="U36" s="77">
        <v>84</v>
      </c>
      <c r="V36" s="77">
        <v>90</v>
      </c>
      <c r="W36" s="5">
        <v>92</v>
      </c>
      <c r="X36" s="5">
        <v>92</v>
      </c>
      <c r="Y36" s="6">
        <v>95</v>
      </c>
      <c r="Z36" s="4">
        <v>97</v>
      </c>
      <c r="AA36" s="79">
        <v>101</v>
      </c>
      <c r="AB36" s="79">
        <v>102</v>
      </c>
      <c r="AC36" s="79">
        <v>102</v>
      </c>
      <c r="AD36" s="79">
        <v>104</v>
      </c>
      <c r="AE36" s="4">
        <v>108</v>
      </c>
      <c r="AF36" s="4">
        <v>109</v>
      </c>
      <c r="AG36" s="4">
        <v>110</v>
      </c>
      <c r="AH36" s="4">
        <v>111</v>
      </c>
      <c r="AI36" s="4">
        <v>111</v>
      </c>
      <c r="AJ36" s="4">
        <v>117</v>
      </c>
      <c r="AK36" s="4">
        <v>116</v>
      </c>
      <c r="AL36" s="4">
        <v>114</v>
      </c>
    </row>
    <row r="37" spans="1:38" x14ac:dyDescent="0.2">
      <c r="A37" s="17" t="s">
        <v>137</v>
      </c>
      <c r="B37" s="18">
        <v>1957</v>
      </c>
      <c r="C37" s="18">
        <v>1953</v>
      </c>
      <c r="D37" s="18">
        <v>1954</v>
      </c>
      <c r="E37" s="18">
        <v>1954</v>
      </c>
      <c r="F37" s="18">
        <v>1950</v>
      </c>
      <c r="G37" s="19">
        <v>1926</v>
      </c>
      <c r="H37" s="16">
        <v>1943</v>
      </c>
      <c r="I37" s="16">
        <v>1939</v>
      </c>
      <c r="J37" s="16">
        <v>1942</v>
      </c>
      <c r="K37" s="16">
        <v>1960</v>
      </c>
      <c r="L37" s="16">
        <v>1957</v>
      </c>
      <c r="M37" s="16">
        <v>1958</v>
      </c>
      <c r="N37" s="16">
        <v>1960</v>
      </c>
      <c r="O37" s="16">
        <v>1964</v>
      </c>
      <c r="P37" s="16">
        <v>1960</v>
      </c>
      <c r="Q37" s="32">
        <v>1955</v>
      </c>
      <c r="R37" s="73">
        <v>1945</v>
      </c>
      <c r="S37" s="76">
        <v>1936</v>
      </c>
      <c r="T37" s="76">
        <v>1923</v>
      </c>
      <c r="U37" s="76">
        <v>1921</v>
      </c>
      <c r="V37" s="76">
        <v>1917</v>
      </c>
      <c r="W37" s="4">
        <v>1901</v>
      </c>
      <c r="X37" s="4">
        <v>1895</v>
      </c>
      <c r="Y37" s="4">
        <v>1890</v>
      </c>
      <c r="Z37" s="4">
        <v>1880</v>
      </c>
      <c r="AA37" s="79">
        <v>1862</v>
      </c>
      <c r="AB37" s="79">
        <v>1858</v>
      </c>
      <c r="AC37" s="79">
        <v>1838</v>
      </c>
      <c r="AD37" s="79">
        <v>1842</v>
      </c>
      <c r="AE37" s="4">
        <v>1839</v>
      </c>
      <c r="AF37" s="4">
        <v>1818</v>
      </c>
      <c r="AG37" s="4">
        <v>1816</v>
      </c>
      <c r="AH37" s="4">
        <v>1806</v>
      </c>
      <c r="AI37" s="4">
        <v>1803</v>
      </c>
      <c r="AJ37" s="4">
        <v>1778</v>
      </c>
      <c r="AK37" s="4">
        <v>1751</v>
      </c>
      <c r="AL37" s="4">
        <v>1735</v>
      </c>
    </row>
    <row r="39" spans="1:38" ht="22" x14ac:dyDescent="0.3">
      <c r="A39" s="54" t="s">
        <v>138</v>
      </c>
    </row>
    <row r="40" spans="1:38" x14ac:dyDescent="0.2">
      <c r="A40" s="12" t="s">
        <v>101</v>
      </c>
      <c r="B40" s="13" t="s">
        <v>102</v>
      </c>
      <c r="C40" s="13" t="s">
        <v>103</v>
      </c>
      <c r="D40" s="13" t="s">
        <v>104</v>
      </c>
      <c r="E40" s="13" t="s">
        <v>105</v>
      </c>
      <c r="F40" s="13" t="s">
        <v>106</v>
      </c>
      <c r="G40" s="13" t="s">
        <v>107</v>
      </c>
      <c r="H40" s="13" t="s">
        <v>108</v>
      </c>
      <c r="I40" s="13" t="s">
        <v>109</v>
      </c>
      <c r="J40" s="13" t="s">
        <v>110</v>
      </c>
      <c r="K40" s="13" t="s">
        <v>111</v>
      </c>
      <c r="L40" s="13" t="s">
        <v>112</v>
      </c>
      <c r="M40" s="13" t="s">
        <v>113</v>
      </c>
      <c r="N40" s="13" t="s">
        <v>114</v>
      </c>
      <c r="O40" s="13" t="s">
        <v>115</v>
      </c>
      <c r="P40" s="13" t="s">
        <v>116</v>
      </c>
      <c r="Q40" s="13" t="s">
        <v>117</v>
      </c>
      <c r="R40" s="13" t="s">
        <v>118</v>
      </c>
      <c r="S40" s="13" t="s">
        <v>119</v>
      </c>
      <c r="T40" s="13" t="s">
        <v>120</v>
      </c>
      <c r="U40" s="13" t="s">
        <v>121</v>
      </c>
      <c r="V40" s="13" t="s">
        <v>122</v>
      </c>
      <c r="W40" s="13" t="s">
        <v>123</v>
      </c>
      <c r="X40" s="13" t="s">
        <v>124</v>
      </c>
      <c r="Y40" s="13" t="s">
        <v>125</v>
      </c>
      <c r="Z40" s="13" t="s">
        <v>205</v>
      </c>
      <c r="AA40" s="13" t="s">
        <v>206</v>
      </c>
      <c r="AB40" s="13" t="s">
        <v>207</v>
      </c>
      <c r="AC40" s="13" t="s">
        <v>208</v>
      </c>
      <c r="AD40" s="80" t="s">
        <v>210</v>
      </c>
      <c r="AE40" s="80" t="s">
        <v>211</v>
      </c>
      <c r="AF40" s="80" t="s">
        <v>212</v>
      </c>
      <c r="AG40" s="80" t="s">
        <v>213</v>
      </c>
      <c r="AH40" s="80" t="s">
        <v>214</v>
      </c>
      <c r="AI40" s="88" t="s">
        <v>215</v>
      </c>
      <c r="AJ40" s="80" t="s">
        <v>216</v>
      </c>
      <c r="AK40" s="88" t="s">
        <v>217</v>
      </c>
      <c r="AL40" s="88" t="s">
        <v>218</v>
      </c>
    </row>
    <row r="41" spans="1:38" x14ac:dyDescent="0.2">
      <c r="A41" s="1" t="s">
        <v>10</v>
      </c>
      <c r="B41" s="2">
        <v>0.2321</v>
      </c>
      <c r="C41" s="2">
        <v>0.2432</v>
      </c>
      <c r="D41" s="2">
        <v>0.2727</v>
      </c>
      <c r="E41" s="2">
        <v>0.29360000000000003</v>
      </c>
      <c r="F41" s="2">
        <v>0.31780000000000003</v>
      </c>
      <c r="G41" s="3">
        <v>0.31480000000000002</v>
      </c>
      <c r="H41" s="2">
        <v>0.3211</v>
      </c>
      <c r="I41" s="2">
        <v>0.3271</v>
      </c>
      <c r="J41" s="2">
        <v>0.33329999999999999</v>
      </c>
      <c r="K41" s="2">
        <v>0.34189999999999998</v>
      </c>
      <c r="L41" s="2">
        <v>0.34189999999999998</v>
      </c>
      <c r="M41" s="2">
        <v>0.3448</v>
      </c>
      <c r="N41" s="2">
        <v>0.36280000000000001</v>
      </c>
      <c r="O41" s="2">
        <v>0.37719999999999998</v>
      </c>
      <c r="P41" s="2">
        <v>0.4259</v>
      </c>
      <c r="Q41" s="31">
        <v>0.4259</v>
      </c>
      <c r="R41" s="3">
        <v>0.4466</v>
      </c>
      <c r="S41" s="3">
        <v>0.44230000000000003</v>
      </c>
      <c r="T41" s="3">
        <v>0.5</v>
      </c>
      <c r="U41" s="3">
        <v>0.52129999999999999</v>
      </c>
      <c r="V41" s="3">
        <v>0.52129999999999999</v>
      </c>
      <c r="W41" s="3">
        <v>0.56040000000000001</v>
      </c>
      <c r="X41" s="78">
        <v>0.55559999999999998</v>
      </c>
      <c r="Y41" s="78">
        <v>0.57950000000000002</v>
      </c>
      <c r="Z41" s="78">
        <v>0.61629999999999996</v>
      </c>
      <c r="AA41" s="78">
        <v>0.67949999999999999</v>
      </c>
      <c r="AB41" s="78">
        <v>0.79410000000000003</v>
      </c>
      <c r="AC41" s="78">
        <v>0.88519999999999999</v>
      </c>
      <c r="AD41" s="83">
        <v>0.8871</v>
      </c>
      <c r="AE41" s="3">
        <v>0.95</v>
      </c>
      <c r="AF41" s="3">
        <v>0.96550000000000002</v>
      </c>
      <c r="AG41" s="78">
        <v>0.94920000000000004</v>
      </c>
      <c r="AH41" s="90">
        <v>0.96609999999999996</v>
      </c>
      <c r="AI41" s="90">
        <v>0.98280000000000001</v>
      </c>
      <c r="AJ41" s="90">
        <v>0.98280000000000001</v>
      </c>
      <c r="AK41" s="93">
        <v>0.98180000000000012</v>
      </c>
      <c r="AL41" s="93">
        <v>1</v>
      </c>
    </row>
    <row r="43" spans="1:38" x14ac:dyDescent="0.2">
      <c r="A43" s="12" t="s">
        <v>126</v>
      </c>
      <c r="B43" s="13" t="s">
        <v>102</v>
      </c>
      <c r="C43" s="13" t="s">
        <v>103</v>
      </c>
      <c r="D43" s="13" t="s">
        <v>104</v>
      </c>
      <c r="E43" s="13" t="s">
        <v>105</v>
      </c>
      <c r="F43" s="13" t="s">
        <v>106</v>
      </c>
      <c r="G43" s="13" t="s">
        <v>107</v>
      </c>
      <c r="H43" s="13" t="s">
        <v>108</v>
      </c>
      <c r="I43" s="13" t="s">
        <v>109</v>
      </c>
      <c r="J43" s="13" t="s">
        <v>110</v>
      </c>
      <c r="K43" s="13" t="s">
        <v>111</v>
      </c>
      <c r="L43" s="13" t="s">
        <v>112</v>
      </c>
      <c r="M43" s="13" t="s">
        <v>113</v>
      </c>
      <c r="N43" s="13" t="s">
        <v>114</v>
      </c>
      <c r="O43" s="13" t="s">
        <v>115</v>
      </c>
      <c r="P43" s="13" t="s">
        <v>116</v>
      </c>
      <c r="Q43" s="13" t="s">
        <v>117</v>
      </c>
      <c r="R43" s="13" t="s">
        <v>118</v>
      </c>
      <c r="S43" s="13" t="s">
        <v>119</v>
      </c>
      <c r="T43" s="13" t="s">
        <v>120</v>
      </c>
      <c r="U43" s="13" t="s">
        <v>121</v>
      </c>
      <c r="V43" s="13" t="s">
        <v>122</v>
      </c>
      <c r="W43" s="13" t="s">
        <v>123</v>
      </c>
      <c r="X43" s="13" t="s">
        <v>124</v>
      </c>
      <c r="Y43" s="13" t="s">
        <v>125</v>
      </c>
      <c r="Z43" s="13" t="s">
        <v>205</v>
      </c>
      <c r="AA43" s="13" t="s">
        <v>206</v>
      </c>
      <c r="AB43" s="13" t="s">
        <v>207</v>
      </c>
      <c r="AC43" s="13" t="s">
        <v>208</v>
      </c>
      <c r="AD43" s="80" t="s">
        <v>210</v>
      </c>
      <c r="AE43" s="80" t="s">
        <v>211</v>
      </c>
      <c r="AF43" s="80" t="s">
        <v>212</v>
      </c>
      <c r="AG43" s="80" t="s">
        <v>213</v>
      </c>
      <c r="AH43" s="80" t="s">
        <v>214</v>
      </c>
      <c r="AI43" s="88" t="s">
        <v>215</v>
      </c>
      <c r="AJ43" s="80" t="s">
        <v>216</v>
      </c>
      <c r="AK43" s="88" t="s">
        <v>217</v>
      </c>
      <c r="AL43" s="88" t="s">
        <v>218</v>
      </c>
    </row>
    <row r="44" spans="1:38" x14ac:dyDescent="0.2">
      <c r="A44" s="1" t="s">
        <v>127</v>
      </c>
      <c r="B44" s="4">
        <v>26</v>
      </c>
      <c r="C44" s="4">
        <v>27</v>
      </c>
      <c r="D44" s="4">
        <v>30</v>
      </c>
      <c r="E44" s="4">
        <v>32</v>
      </c>
      <c r="F44" s="20">
        <v>34</v>
      </c>
      <c r="G44" s="4">
        <v>34</v>
      </c>
      <c r="H44" s="4">
        <v>35</v>
      </c>
      <c r="I44" s="4">
        <v>35</v>
      </c>
      <c r="J44" s="4">
        <v>35</v>
      </c>
      <c r="K44" s="4">
        <v>40</v>
      </c>
      <c r="L44" s="4">
        <v>40</v>
      </c>
      <c r="M44" s="4">
        <v>40</v>
      </c>
      <c r="N44" s="4">
        <v>41</v>
      </c>
      <c r="O44" s="4">
        <v>43</v>
      </c>
      <c r="P44" s="4">
        <v>46</v>
      </c>
      <c r="Q44" s="4">
        <v>46</v>
      </c>
      <c r="R44" s="4">
        <v>46</v>
      </c>
      <c r="S44" s="4">
        <v>46</v>
      </c>
      <c r="T44" s="4">
        <v>48</v>
      </c>
      <c r="U44" s="4">
        <v>49</v>
      </c>
      <c r="V44" s="4">
        <v>49</v>
      </c>
      <c r="W44" s="4">
        <v>51</v>
      </c>
      <c r="X44">
        <v>50</v>
      </c>
      <c r="Y44">
        <v>51</v>
      </c>
      <c r="Z44">
        <v>53</v>
      </c>
      <c r="AA44">
        <v>53</v>
      </c>
      <c r="AB44">
        <v>54</v>
      </c>
      <c r="AC44">
        <v>54</v>
      </c>
      <c r="AD44">
        <v>55</v>
      </c>
      <c r="AE44">
        <v>57</v>
      </c>
      <c r="AF44">
        <v>56</v>
      </c>
      <c r="AG44">
        <v>56</v>
      </c>
      <c r="AH44">
        <v>57</v>
      </c>
      <c r="AI44">
        <v>57</v>
      </c>
      <c r="AJ44">
        <v>57</v>
      </c>
      <c r="AK44">
        <v>54</v>
      </c>
      <c r="AL44">
        <v>53</v>
      </c>
    </row>
    <row r="45" spans="1:38" x14ac:dyDescent="0.2">
      <c r="A45" s="1" t="s">
        <v>128</v>
      </c>
      <c r="B45" s="4">
        <v>30</v>
      </c>
      <c r="C45" s="4">
        <v>30</v>
      </c>
      <c r="D45" s="4">
        <v>31</v>
      </c>
      <c r="E45" s="4">
        <v>31</v>
      </c>
      <c r="F45" s="20">
        <v>30</v>
      </c>
      <c r="G45" s="4">
        <v>33</v>
      </c>
      <c r="H45" s="4">
        <v>33</v>
      </c>
      <c r="I45" s="4">
        <v>34</v>
      </c>
      <c r="J45" s="4">
        <v>37</v>
      </c>
      <c r="K45" s="4">
        <v>40</v>
      </c>
      <c r="L45" s="4">
        <v>41</v>
      </c>
      <c r="M45" s="4">
        <v>40</v>
      </c>
      <c r="N45" s="4">
        <v>40</v>
      </c>
      <c r="O45" s="4">
        <v>45</v>
      </c>
      <c r="P45" s="4">
        <v>45</v>
      </c>
      <c r="Q45" s="4">
        <v>45</v>
      </c>
      <c r="R45" s="4">
        <v>43</v>
      </c>
      <c r="S45" s="4">
        <v>47</v>
      </c>
      <c r="T45" s="4">
        <v>40</v>
      </c>
      <c r="U45" s="4">
        <v>37</v>
      </c>
      <c r="V45" s="4">
        <v>37</v>
      </c>
      <c r="W45" s="4">
        <v>32</v>
      </c>
      <c r="X45">
        <v>32</v>
      </c>
      <c r="Y45">
        <v>31</v>
      </c>
      <c r="Z45">
        <v>27</v>
      </c>
      <c r="AA45">
        <v>24</v>
      </c>
      <c r="AB45">
        <v>13</v>
      </c>
      <c r="AC45">
        <v>7</v>
      </c>
      <c r="AD45">
        <v>7</v>
      </c>
      <c r="AE45">
        <v>3</v>
      </c>
      <c r="AF45">
        <v>2</v>
      </c>
      <c r="AG45">
        <v>2</v>
      </c>
      <c r="AH45">
        <v>2</v>
      </c>
      <c r="AI45">
        <v>1</v>
      </c>
      <c r="AJ45">
        <v>1</v>
      </c>
      <c r="AK45">
        <v>1</v>
      </c>
      <c r="AL45" t="s">
        <v>139</v>
      </c>
    </row>
    <row r="46" spans="1:38" x14ac:dyDescent="0.2">
      <c r="A46" s="4" t="s">
        <v>129</v>
      </c>
      <c r="B46" s="21" t="s">
        <v>139</v>
      </c>
      <c r="C46" s="21" t="s">
        <v>139</v>
      </c>
      <c r="D46" s="21" t="s">
        <v>139</v>
      </c>
      <c r="E46" s="21" t="s">
        <v>139</v>
      </c>
      <c r="F46" s="21" t="s">
        <v>139</v>
      </c>
      <c r="G46" s="9" t="s">
        <v>139</v>
      </c>
      <c r="H46" s="9" t="s">
        <v>139</v>
      </c>
      <c r="I46" s="9" t="s">
        <v>139</v>
      </c>
      <c r="J46" s="9" t="s">
        <v>139</v>
      </c>
      <c r="K46" s="9" t="s">
        <v>139</v>
      </c>
      <c r="L46" s="9" t="s">
        <v>139</v>
      </c>
      <c r="M46" s="9" t="s">
        <v>139</v>
      </c>
      <c r="N46" s="9" t="s">
        <v>139</v>
      </c>
      <c r="O46" s="9" t="s">
        <v>139</v>
      </c>
      <c r="P46" s="9" t="s">
        <v>139</v>
      </c>
      <c r="Q46" s="9" t="s">
        <v>139</v>
      </c>
      <c r="R46" s="9" t="s">
        <v>139</v>
      </c>
      <c r="S46" s="9" t="s">
        <v>139</v>
      </c>
      <c r="T46" s="9" t="s">
        <v>139</v>
      </c>
      <c r="U46" s="9" t="s">
        <v>139</v>
      </c>
      <c r="V46" s="9" t="s">
        <v>139</v>
      </c>
      <c r="W46" s="9" t="s">
        <v>139</v>
      </c>
      <c r="X46" t="s">
        <v>139</v>
      </c>
      <c r="Y46" t="s">
        <v>139</v>
      </c>
      <c r="Z46" t="s">
        <v>139</v>
      </c>
      <c r="AA46" t="s">
        <v>139</v>
      </c>
      <c r="AB46" t="s">
        <v>139</v>
      </c>
      <c r="AC46" t="s">
        <v>139</v>
      </c>
      <c r="AD46" t="s">
        <v>139</v>
      </c>
      <c r="AE46" t="s">
        <v>139</v>
      </c>
      <c r="AF46" t="s">
        <v>139</v>
      </c>
      <c r="AG46" t="s">
        <v>139</v>
      </c>
      <c r="AH46" t="s">
        <v>139</v>
      </c>
      <c r="AI46" t="s">
        <v>139</v>
      </c>
      <c r="AJ46" t="s">
        <v>139</v>
      </c>
      <c r="AK46" t="s">
        <v>139</v>
      </c>
      <c r="AL46" t="s">
        <v>139</v>
      </c>
    </row>
    <row r="47" spans="1:38" x14ac:dyDescent="0.2">
      <c r="A47" s="1" t="s">
        <v>130</v>
      </c>
      <c r="B47" s="4">
        <v>56</v>
      </c>
      <c r="C47" s="4">
        <v>54</v>
      </c>
      <c r="D47" s="4">
        <v>49</v>
      </c>
      <c r="E47" s="4">
        <v>46</v>
      </c>
      <c r="F47" s="20">
        <v>43</v>
      </c>
      <c r="G47" s="4">
        <v>41</v>
      </c>
      <c r="H47" s="4">
        <v>41</v>
      </c>
      <c r="I47" s="4">
        <v>38</v>
      </c>
      <c r="J47" s="4">
        <v>33</v>
      </c>
      <c r="K47" s="4">
        <v>37</v>
      </c>
      <c r="L47" s="4">
        <v>36</v>
      </c>
      <c r="M47" s="4">
        <v>36</v>
      </c>
      <c r="N47" s="4">
        <v>32</v>
      </c>
      <c r="O47" s="4">
        <v>26</v>
      </c>
      <c r="P47" s="4">
        <v>17</v>
      </c>
      <c r="Q47" s="4">
        <v>17</v>
      </c>
      <c r="R47" s="4">
        <v>14</v>
      </c>
      <c r="S47" s="4">
        <v>11</v>
      </c>
      <c r="T47" s="4">
        <v>8</v>
      </c>
      <c r="U47" s="4">
        <v>8</v>
      </c>
      <c r="V47" s="4">
        <v>8</v>
      </c>
      <c r="W47" s="4">
        <v>8</v>
      </c>
      <c r="X47">
        <v>8</v>
      </c>
      <c r="Y47">
        <v>6</v>
      </c>
      <c r="Z47">
        <v>6</v>
      </c>
      <c r="AA47">
        <v>1</v>
      </c>
      <c r="AB47">
        <v>1</v>
      </c>
      <c r="AC47" t="s">
        <v>139</v>
      </c>
      <c r="AD47" t="s">
        <v>139</v>
      </c>
      <c r="AE47" t="s">
        <v>139</v>
      </c>
      <c r="AF47" t="s">
        <v>139</v>
      </c>
      <c r="AG47">
        <v>1</v>
      </c>
      <c r="AH47" t="s">
        <v>139</v>
      </c>
      <c r="AI47" t="s">
        <v>139</v>
      </c>
      <c r="AJ47" t="s">
        <v>139</v>
      </c>
      <c r="AK47" t="s">
        <v>139</v>
      </c>
      <c r="AL47" t="s">
        <v>139</v>
      </c>
    </row>
    <row r="48" spans="1:38" x14ac:dyDescent="0.2">
      <c r="A48" s="4" t="s">
        <v>131</v>
      </c>
      <c r="B48" s="4">
        <v>7</v>
      </c>
      <c r="C48" s="4">
        <v>8</v>
      </c>
      <c r="D48" s="4">
        <v>8</v>
      </c>
      <c r="E48" s="4">
        <v>9</v>
      </c>
      <c r="F48" s="20">
        <v>9</v>
      </c>
      <c r="G48" s="4">
        <v>9</v>
      </c>
      <c r="H48" s="4">
        <v>9</v>
      </c>
      <c r="I48" s="4">
        <v>9</v>
      </c>
      <c r="J48" s="4">
        <v>9</v>
      </c>
      <c r="K48" s="4">
        <v>11</v>
      </c>
      <c r="L48" s="4">
        <v>11</v>
      </c>
      <c r="M48" s="4">
        <v>11</v>
      </c>
      <c r="N48" s="4">
        <v>13</v>
      </c>
      <c r="O48" s="4">
        <v>13</v>
      </c>
      <c r="P48" s="4">
        <v>18</v>
      </c>
      <c r="Q48" s="4">
        <v>18</v>
      </c>
      <c r="R48" s="4">
        <v>18</v>
      </c>
      <c r="S48" s="4">
        <v>18</v>
      </c>
      <c r="T48" s="4">
        <v>21</v>
      </c>
      <c r="U48" s="4">
        <v>23</v>
      </c>
      <c r="V48" s="4">
        <v>23</v>
      </c>
      <c r="W48" s="4">
        <v>23</v>
      </c>
      <c r="X48">
        <v>23</v>
      </c>
      <c r="Y48">
        <v>23</v>
      </c>
      <c r="Z48">
        <v>25</v>
      </c>
      <c r="AA48">
        <v>25</v>
      </c>
      <c r="AB48">
        <v>25</v>
      </c>
      <c r="AC48">
        <v>27</v>
      </c>
      <c r="AD48">
        <v>27</v>
      </c>
      <c r="AE48">
        <v>27</v>
      </c>
      <c r="AF48">
        <v>26</v>
      </c>
      <c r="AG48">
        <v>25</v>
      </c>
      <c r="AH48">
        <v>25</v>
      </c>
      <c r="AI48">
        <v>25</v>
      </c>
      <c r="AJ48">
        <v>25</v>
      </c>
      <c r="AK48">
        <v>25</v>
      </c>
      <c r="AL48">
        <v>25</v>
      </c>
    </row>
    <row r="49" spans="1:38" x14ac:dyDescent="0.2">
      <c r="A49" s="4" t="s">
        <v>132</v>
      </c>
      <c r="B49" s="4">
        <v>2</v>
      </c>
      <c r="C49" s="4">
        <v>2</v>
      </c>
      <c r="D49" s="4">
        <v>2</v>
      </c>
      <c r="E49" s="4">
        <v>2</v>
      </c>
      <c r="F49" s="20">
        <v>2</v>
      </c>
      <c r="G49" s="4">
        <v>2</v>
      </c>
      <c r="H49" s="4">
        <v>2</v>
      </c>
      <c r="I49" s="4">
        <v>2</v>
      </c>
      <c r="J49" s="4">
        <v>2</v>
      </c>
      <c r="K49" s="4">
        <v>2</v>
      </c>
      <c r="L49" s="4">
        <v>2</v>
      </c>
      <c r="M49" s="4">
        <v>2</v>
      </c>
      <c r="N49" s="4">
        <v>2</v>
      </c>
      <c r="O49" s="4">
        <v>2</v>
      </c>
      <c r="P49" s="4">
        <v>2</v>
      </c>
      <c r="Q49" s="4">
        <v>3</v>
      </c>
      <c r="R49" s="4">
        <v>3</v>
      </c>
      <c r="S49" s="4">
        <v>3</v>
      </c>
      <c r="T49" s="4">
        <v>3</v>
      </c>
      <c r="U49" s="4">
        <v>3</v>
      </c>
      <c r="V49" s="4">
        <v>3</v>
      </c>
      <c r="W49" s="4">
        <v>3</v>
      </c>
      <c r="X49">
        <v>3</v>
      </c>
      <c r="Y49">
        <v>3</v>
      </c>
      <c r="Z49">
        <v>3</v>
      </c>
      <c r="AA49">
        <v>3</v>
      </c>
      <c r="AB49">
        <v>3</v>
      </c>
      <c r="AC49">
        <v>3</v>
      </c>
      <c r="AD49">
        <v>3</v>
      </c>
      <c r="AE49">
        <v>3</v>
      </c>
      <c r="AF49">
        <v>3</v>
      </c>
      <c r="AG49">
        <v>3</v>
      </c>
      <c r="AH49">
        <v>3</v>
      </c>
      <c r="AI49">
        <v>3</v>
      </c>
      <c r="AJ49">
        <v>3</v>
      </c>
      <c r="AK49">
        <v>3</v>
      </c>
      <c r="AL49">
        <v>3</v>
      </c>
    </row>
    <row r="50" spans="1:38" x14ac:dyDescent="0.2">
      <c r="A50" s="4" t="s">
        <v>133</v>
      </c>
      <c r="B50" s="4">
        <v>1</v>
      </c>
      <c r="C50" s="4">
        <v>1</v>
      </c>
      <c r="D50" s="4">
        <v>1</v>
      </c>
      <c r="E50" s="4">
        <v>1</v>
      </c>
      <c r="F50" s="20">
        <v>3</v>
      </c>
      <c r="G50" s="4">
        <v>2</v>
      </c>
      <c r="H50" s="4">
        <v>2</v>
      </c>
      <c r="I50" s="4">
        <v>2</v>
      </c>
      <c r="J50" s="4">
        <v>2</v>
      </c>
      <c r="K50" s="4">
        <v>2</v>
      </c>
      <c r="L50" s="4">
        <v>2</v>
      </c>
      <c r="M50" s="4">
        <v>2</v>
      </c>
      <c r="N50" s="4">
        <v>2</v>
      </c>
      <c r="O50" s="4">
        <v>2</v>
      </c>
      <c r="P50" s="4">
        <v>2</v>
      </c>
      <c r="Q50" s="4">
        <v>2</v>
      </c>
      <c r="R50" s="4">
        <v>2</v>
      </c>
      <c r="S50" s="4">
        <v>2</v>
      </c>
      <c r="T50" s="4">
        <v>2</v>
      </c>
      <c r="U50" s="4">
        <v>2</v>
      </c>
      <c r="V50" s="4">
        <v>2</v>
      </c>
      <c r="W50" s="4">
        <v>2</v>
      </c>
      <c r="X50">
        <v>2</v>
      </c>
      <c r="Y50">
        <v>2</v>
      </c>
      <c r="Z50">
        <v>2</v>
      </c>
      <c r="AA50">
        <v>2</v>
      </c>
      <c r="AB50">
        <v>13</v>
      </c>
      <c r="AC50">
        <v>15</v>
      </c>
      <c r="AD50">
        <v>16</v>
      </c>
      <c r="AE50">
        <v>18</v>
      </c>
      <c r="AF50">
        <v>18</v>
      </c>
      <c r="AG50">
        <v>18</v>
      </c>
      <c r="AH50">
        <v>18</v>
      </c>
      <c r="AI50">
        <v>19</v>
      </c>
      <c r="AJ50">
        <v>18</v>
      </c>
      <c r="AK50">
        <v>16</v>
      </c>
      <c r="AL50">
        <v>16</v>
      </c>
    </row>
    <row r="51" spans="1:38" x14ac:dyDescent="0.2">
      <c r="A51" s="4" t="s">
        <v>134</v>
      </c>
      <c r="B51" s="4">
        <v>1</v>
      </c>
      <c r="C51" s="4">
        <v>1</v>
      </c>
      <c r="D51" s="4">
        <v>1</v>
      </c>
      <c r="E51" s="4">
        <v>1</v>
      </c>
      <c r="F51" s="21" t="s">
        <v>139</v>
      </c>
      <c r="G51" s="9" t="s">
        <v>139</v>
      </c>
      <c r="H51" s="9" t="s">
        <v>139</v>
      </c>
      <c r="I51" s="9" t="s">
        <v>139</v>
      </c>
      <c r="J51" s="9" t="s">
        <v>139</v>
      </c>
      <c r="K51" s="9" t="s">
        <v>139</v>
      </c>
      <c r="L51" s="9" t="s">
        <v>139</v>
      </c>
      <c r="M51" s="9" t="s">
        <v>139</v>
      </c>
      <c r="N51" s="9" t="s">
        <v>139</v>
      </c>
      <c r="O51" s="9" t="s">
        <v>139</v>
      </c>
      <c r="P51" s="9" t="s">
        <v>139</v>
      </c>
      <c r="Q51" s="9" t="s">
        <v>139</v>
      </c>
      <c r="R51" s="9" t="s">
        <v>139</v>
      </c>
      <c r="S51" s="9" t="s">
        <v>139</v>
      </c>
      <c r="T51" s="9">
        <v>1</v>
      </c>
      <c r="U51" s="9">
        <v>1</v>
      </c>
      <c r="V51" s="9">
        <v>1</v>
      </c>
      <c r="W51" s="9">
        <v>1</v>
      </c>
      <c r="X51">
        <v>1</v>
      </c>
      <c r="Y51">
        <v>2</v>
      </c>
      <c r="Z51">
        <v>2</v>
      </c>
      <c r="AA51">
        <v>3</v>
      </c>
      <c r="AB51">
        <v>3</v>
      </c>
      <c r="AC51">
        <v>3</v>
      </c>
      <c r="AD51">
        <v>3</v>
      </c>
      <c r="AE51">
        <v>3</v>
      </c>
      <c r="AF51">
        <v>3</v>
      </c>
      <c r="AG51">
        <v>3</v>
      </c>
      <c r="AH51">
        <v>3</v>
      </c>
      <c r="AI51">
        <v>3</v>
      </c>
      <c r="AJ51">
        <v>3</v>
      </c>
      <c r="AK51">
        <v>3</v>
      </c>
      <c r="AL51">
        <v>3</v>
      </c>
    </row>
    <row r="52" spans="1:38" x14ac:dyDescent="0.2">
      <c r="A52" s="4" t="s">
        <v>135</v>
      </c>
      <c r="B52" s="21" t="s">
        <v>139</v>
      </c>
      <c r="C52" s="21" t="s">
        <v>139</v>
      </c>
      <c r="D52" s="21" t="s">
        <v>139</v>
      </c>
      <c r="E52" s="21" t="s">
        <v>139</v>
      </c>
      <c r="F52" s="21" t="s">
        <v>139</v>
      </c>
      <c r="G52" s="9" t="s">
        <v>139</v>
      </c>
      <c r="H52" s="9" t="s">
        <v>139</v>
      </c>
      <c r="I52" s="9" t="s">
        <v>139</v>
      </c>
      <c r="J52" s="9" t="s">
        <v>139</v>
      </c>
      <c r="K52" s="9" t="s">
        <v>139</v>
      </c>
      <c r="L52" s="9" t="s">
        <v>139</v>
      </c>
      <c r="M52" s="9" t="s">
        <v>139</v>
      </c>
      <c r="N52" s="9" t="s">
        <v>139</v>
      </c>
      <c r="O52" s="9" t="s">
        <v>139</v>
      </c>
      <c r="P52" s="9" t="s">
        <v>139</v>
      </c>
      <c r="Q52" s="9" t="s">
        <v>139</v>
      </c>
      <c r="R52" s="9" t="s">
        <v>139</v>
      </c>
      <c r="S52" s="9" t="s">
        <v>139</v>
      </c>
      <c r="T52" s="9" t="s">
        <v>139</v>
      </c>
      <c r="U52" s="9" t="s">
        <v>139</v>
      </c>
      <c r="V52" s="9" t="s">
        <v>139</v>
      </c>
      <c r="W52" s="9" t="s">
        <v>139</v>
      </c>
      <c r="X52" t="s">
        <v>139</v>
      </c>
      <c r="Y52" t="s">
        <v>139</v>
      </c>
      <c r="Z52" t="s">
        <v>139</v>
      </c>
      <c r="AA52" t="s">
        <v>139</v>
      </c>
      <c r="AB52" t="s">
        <v>139</v>
      </c>
      <c r="AC52" t="s">
        <v>139</v>
      </c>
      <c r="AD52" t="s">
        <v>139</v>
      </c>
      <c r="AE52" t="s">
        <v>139</v>
      </c>
      <c r="AF52" t="s">
        <v>139</v>
      </c>
      <c r="AG52" t="s">
        <v>139</v>
      </c>
      <c r="AH52" t="s">
        <v>139</v>
      </c>
      <c r="AI52" t="s">
        <v>139</v>
      </c>
      <c r="AJ52" t="s">
        <v>139</v>
      </c>
      <c r="AK52" t="s">
        <v>139</v>
      </c>
      <c r="AL52" t="s">
        <v>139</v>
      </c>
    </row>
    <row r="53" spans="1:38" x14ac:dyDescent="0.2">
      <c r="A53" s="4" t="s">
        <v>136</v>
      </c>
      <c r="B53" s="21" t="s">
        <v>139</v>
      </c>
      <c r="C53" s="21" t="s">
        <v>139</v>
      </c>
      <c r="D53" s="21" t="s">
        <v>139</v>
      </c>
      <c r="E53" s="21" t="s">
        <v>139</v>
      </c>
      <c r="F53" s="21" t="s">
        <v>139</v>
      </c>
      <c r="G53" s="22" t="s">
        <v>139</v>
      </c>
      <c r="H53" s="22" t="s">
        <v>139</v>
      </c>
      <c r="I53" s="22" t="s">
        <v>139</v>
      </c>
      <c r="J53" s="22" t="s">
        <v>139</v>
      </c>
      <c r="K53" s="22" t="s">
        <v>139</v>
      </c>
      <c r="L53" s="22" t="s">
        <v>139</v>
      </c>
      <c r="M53" s="22" t="s">
        <v>139</v>
      </c>
      <c r="N53" s="22" t="s">
        <v>139</v>
      </c>
      <c r="O53" s="22" t="s">
        <v>139</v>
      </c>
      <c r="P53" s="23" t="s">
        <v>139</v>
      </c>
      <c r="Q53" s="9" t="s">
        <v>139</v>
      </c>
      <c r="R53" s="9" t="s">
        <v>139</v>
      </c>
      <c r="S53" s="9" t="s">
        <v>139</v>
      </c>
      <c r="T53" s="9" t="s">
        <v>139</v>
      </c>
      <c r="U53" s="9" t="s">
        <v>139</v>
      </c>
      <c r="V53" s="9" t="s">
        <v>139</v>
      </c>
      <c r="W53" s="9" t="s">
        <v>139</v>
      </c>
      <c r="X53" t="s">
        <v>139</v>
      </c>
      <c r="Y53">
        <v>1</v>
      </c>
      <c r="Z53">
        <v>2</v>
      </c>
      <c r="AA53">
        <v>3</v>
      </c>
      <c r="AB53">
        <v>2</v>
      </c>
      <c r="AC53">
        <v>2</v>
      </c>
      <c r="AD53">
        <v>2</v>
      </c>
      <c r="AE53">
        <v>2</v>
      </c>
      <c r="AF53">
        <v>2</v>
      </c>
      <c r="AG53">
        <v>2</v>
      </c>
      <c r="AH53">
        <v>2</v>
      </c>
      <c r="AI53">
        <v>2</v>
      </c>
      <c r="AJ53">
        <v>2</v>
      </c>
      <c r="AK53">
        <v>2</v>
      </c>
      <c r="AL53">
        <v>2</v>
      </c>
    </row>
    <row r="54" spans="1:38" x14ac:dyDescent="0.2">
      <c r="A54" s="7" t="s">
        <v>137</v>
      </c>
      <c r="B54" s="8">
        <v>123</v>
      </c>
      <c r="C54" s="8">
        <v>123</v>
      </c>
      <c r="D54" s="8">
        <v>122</v>
      </c>
      <c r="E54" s="8">
        <v>122</v>
      </c>
      <c r="F54" s="8">
        <v>121</v>
      </c>
      <c r="G54" s="9">
        <v>121</v>
      </c>
      <c r="H54" s="4">
        <v>122</v>
      </c>
      <c r="I54" s="4">
        <v>120</v>
      </c>
      <c r="J54" s="4">
        <v>118</v>
      </c>
      <c r="K54" s="4">
        <v>132</v>
      </c>
      <c r="L54" s="4">
        <v>132</v>
      </c>
      <c r="M54" s="4">
        <v>131</v>
      </c>
      <c r="N54" s="4">
        <v>130</v>
      </c>
      <c r="O54" s="4">
        <v>131</v>
      </c>
      <c r="P54" s="4">
        <v>130</v>
      </c>
      <c r="Q54" s="4">
        <v>131</v>
      </c>
      <c r="R54" s="4">
        <v>126</v>
      </c>
      <c r="S54" s="4">
        <v>127</v>
      </c>
      <c r="T54" s="4">
        <v>123</v>
      </c>
      <c r="U54" s="4">
        <v>123</v>
      </c>
      <c r="V54" s="4">
        <v>123</v>
      </c>
      <c r="W54" s="4">
        <v>120</v>
      </c>
      <c r="X54">
        <v>119</v>
      </c>
      <c r="Y54">
        <v>119</v>
      </c>
      <c r="Z54">
        <v>120</v>
      </c>
      <c r="AA54">
        <v>114</v>
      </c>
      <c r="AB54">
        <v>114</v>
      </c>
      <c r="AC54">
        <v>111</v>
      </c>
      <c r="AD54">
        <v>113</v>
      </c>
      <c r="AE54">
        <v>113</v>
      </c>
      <c r="AF54">
        <v>110</v>
      </c>
      <c r="AG54">
        <v>110</v>
      </c>
      <c r="AH54">
        <v>110</v>
      </c>
      <c r="AI54">
        <v>110</v>
      </c>
      <c r="AJ54">
        <v>109</v>
      </c>
      <c r="AK54">
        <v>104</v>
      </c>
      <c r="AL54">
        <v>102</v>
      </c>
    </row>
    <row r="56" spans="1:38" ht="22" x14ac:dyDescent="0.3">
      <c r="A56" s="54" t="s">
        <v>140</v>
      </c>
    </row>
    <row r="57" spans="1:38" x14ac:dyDescent="0.2">
      <c r="A57" s="12" t="s">
        <v>101</v>
      </c>
      <c r="B57" s="13" t="s">
        <v>102</v>
      </c>
      <c r="C57" s="13" t="s">
        <v>103</v>
      </c>
      <c r="D57" s="13" t="s">
        <v>104</v>
      </c>
      <c r="E57" s="13" t="s">
        <v>105</v>
      </c>
      <c r="F57" s="13" t="s">
        <v>106</v>
      </c>
      <c r="G57" s="13" t="s">
        <v>107</v>
      </c>
      <c r="H57" s="13" t="s">
        <v>108</v>
      </c>
      <c r="I57" s="13" t="s">
        <v>109</v>
      </c>
      <c r="J57" s="13" t="s">
        <v>110</v>
      </c>
      <c r="K57" s="13" t="s">
        <v>111</v>
      </c>
      <c r="L57" s="13" t="s">
        <v>112</v>
      </c>
      <c r="M57" s="13" t="s">
        <v>113</v>
      </c>
      <c r="N57" s="13" t="s">
        <v>114</v>
      </c>
      <c r="O57" s="13" t="s">
        <v>115</v>
      </c>
      <c r="P57" s="13" t="s">
        <v>116</v>
      </c>
      <c r="Q57" s="13" t="s">
        <v>117</v>
      </c>
      <c r="R57" s="13" t="s">
        <v>118</v>
      </c>
      <c r="S57" s="13" t="s">
        <v>119</v>
      </c>
      <c r="T57" s="13" t="s">
        <v>120</v>
      </c>
      <c r="U57" s="13" t="s">
        <v>121</v>
      </c>
      <c r="V57" s="13" t="s">
        <v>122</v>
      </c>
      <c r="W57" s="13" t="s">
        <v>123</v>
      </c>
      <c r="X57" s="13" t="s">
        <v>124</v>
      </c>
      <c r="Y57" s="13" t="s">
        <v>125</v>
      </c>
      <c r="Z57" s="13" t="s">
        <v>205</v>
      </c>
      <c r="AA57" s="13" t="s">
        <v>206</v>
      </c>
      <c r="AB57" s="13" t="s">
        <v>207</v>
      </c>
      <c r="AC57" s="13" t="s">
        <v>208</v>
      </c>
      <c r="AD57" s="80" t="s">
        <v>210</v>
      </c>
      <c r="AE57" s="80" t="s">
        <v>211</v>
      </c>
      <c r="AF57" s="80" t="s">
        <v>212</v>
      </c>
      <c r="AG57" s="80" t="s">
        <v>213</v>
      </c>
      <c r="AH57" s="88" t="s">
        <v>214</v>
      </c>
      <c r="AI57" s="88" t="s">
        <v>215</v>
      </c>
      <c r="AJ57" s="80" t="s">
        <v>216</v>
      </c>
      <c r="AK57" s="88" t="s">
        <v>217</v>
      </c>
      <c r="AL57" s="88" t="s">
        <v>218</v>
      </c>
    </row>
    <row r="58" spans="1:38" x14ac:dyDescent="0.2">
      <c r="A58" s="1" t="s">
        <v>10</v>
      </c>
      <c r="B58" s="2">
        <v>0.1111</v>
      </c>
      <c r="C58" s="2">
        <v>0.11700000000000001</v>
      </c>
      <c r="D58" s="2">
        <v>0.12280000000000001</v>
      </c>
      <c r="E58" s="2">
        <v>0.12790000000000001</v>
      </c>
      <c r="F58" s="2">
        <v>0.1462</v>
      </c>
      <c r="G58" s="3">
        <v>0.13769999999999999</v>
      </c>
      <c r="H58" s="2">
        <v>0.13769999999999999</v>
      </c>
      <c r="I58" s="2">
        <v>0.13769999999999999</v>
      </c>
      <c r="J58" s="2">
        <v>0.17469999999999999</v>
      </c>
      <c r="K58" s="2">
        <v>0.17580000000000001</v>
      </c>
      <c r="L58" s="2">
        <v>0.17680000000000001</v>
      </c>
      <c r="M58" s="2">
        <v>0.17680000000000001</v>
      </c>
      <c r="N58" s="2">
        <v>0.189</v>
      </c>
      <c r="O58" s="2">
        <v>0.19020000000000001</v>
      </c>
      <c r="P58" s="2">
        <v>0.189</v>
      </c>
      <c r="Q58" s="2">
        <v>0.19020000000000001</v>
      </c>
      <c r="R58" s="2">
        <v>0.18629999999999999</v>
      </c>
      <c r="S58" s="2">
        <v>0.1835</v>
      </c>
      <c r="T58" s="2">
        <v>0.19350000000000001</v>
      </c>
      <c r="U58" s="2">
        <v>0.17419999999999999</v>
      </c>
      <c r="V58" s="2">
        <v>0.19109999999999999</v>
      </c>
      <c r="W58" s="2">
        <v>0.2278</v>
      </c>
      <c r="X58" s="78">
        <v>0.27100000000000002</v>
      </c>
      <c r="Y58" s="78">
        <v>0.27450000000000002</v>
      </c>
      <c r="Z58" s="78">
        <v>0.32</v>
      </c>
      <c r="AA58" s="78">
        <v>0.39040000000000002</v>
      </c>
      <c r="AB58" s="78">
        <v>0.5071</v>
      </c>
      <c r="AC58" s="78">
        <v>0.50719999999999998</v>
      </c>
      <c r="AD58" s="78">
        <v>0.53280000000000005</v>
      </c>
      <c r="AE58" s="78">
        <v>0.56299999999999994</v>
      </c>
      <c r="AF58" s="78">
        <v>0.63490000000000002</v>
      </c>
      <c r="AG58" s="87">
        <v>0.68</v>
      </c>
      <c r="AH58" s="87">
        <v>0.67480000000000007</v>
      </c>
      <c r="AI58" s="87">
        <v>0.74790000000000001</v>
      </c>
      <c r="AJ58" s="87">
        <v>0.81510000000000005</v>
      </c>
      <c r="AK58" s="87">
        <v>0.8276</v>
      </c>
      <c r="AL58" s="87">
        <v>0.84209999999999996</v>
      </c>
    </row>
    <row r="60" spans="1:38" x14ac:dyDescent="0.2">
      <c r="A60" s="12" t="s">
        <v>126</v>
      </c>
      <c r="B60" s="13" t="s">
        <v>102</v>
      </c>
      <c r="C60" s="13" t="s">
        <v>103</v>
      </c>
      <c r="D60" s="13" t="s">
        <v>104</v>
      </c>
      <c r="E60" s="13" t="s">
        <v>105</v>
      </c>
      <c r="F60" s="13" t="s">
        <v>106</v>
      </c>
      <c r="G60" s="13" t="s">
        <v>107</v>
      </c>
      <c r="H60" s="13" t="s">
        <v>108</v>
      </c>
      <c r="I60" s="13" t="s">
        <v>109</v>
      </c>
      <c r="J60" s="13" t="s">
        <v>110</v>
      </c>
      <c r="K60" s="13" t="s">
        <v>111</v>
      </c>
      <c r="L60" s="13" t="s">
        <v>112</v>
      </c>
      <c r="M60" s="13" t="s">
        <v>113</v>
      </c>
      <c r="N60" s="13" t="s">
        <v>114</v>
      </c>
      <c r="O60" s="13" t="s">
        <v>115</v>
      </c>
      <c r="P60" s="13" t="s">
        <v>116</v>
      </c>
      <c r="Q60" s="13" t="s">
        <v>117</v>
      </c>
      <c r="R60" s="13" t="s">
        <v>118</v>
      </c>
      <c r="S60" s="13" t="s">
        <v>119</v>
      </c>
      <c r="T60" s="13" t="s">
        <v>120</v>
      </c>
      <c r="U60" s="13" t="s">
        <v>121</v>
      </c>
      <c r="V60" s="13" t="s">
        <v>122</v>
      </c>
      <c r="W60" s="13" t="s">
        <v>123</v>
      </c>
      <c r="X60" s="13" t="s">
        <v>124</v>
      </c>
      <c r="Y60" s="13" t="s">
        <v>125</v>
      </c>
      <c r="Z60" s="13" t="s">
        <v>205</v>
      </c>
      <c r="AA60" s="13" t="s">
        <v>206</v>
      </c>
      <c r="AB60" s="13" t="s">
        <v>207</v>
      </c>
      <c r="AC60" s="13" t="s">
        <v>208</v>
      </c>
      <c r="AD60" s="80" t="s">
        <v>210</v>
      </c>
      <c r="AE60" s="80" t="s">
        <v>211</v>
      </c>
      <c r="AF60" s="80" t="s">
        <v>212</v>
      </c>
      <c r="AG60" s="80" t="s">
        <v>213</v>
      </c>
      <c r="AH60" s="88" t="s">
        <v>214</v>
      </c>
      <c r="AI60" s="88" t="s">
        <v>215</v>
      </c>
      <c r="AJ60" s="80" t="s">
        <v>216</v>
      </c>
      <c r="AK60" s="88" t="s">
        <v>217</v>
      </c>
      <c r="AL60" s="88" t="s">
        <v>218</v>
      </c>
    </row>
    <row r="61" spans="1:38" x14ac:dyDescent="0.2">
      <c r="A61" s="1" t="s">
        <v>127</v>
      </c>
      <c r="B61" s="4">
        <v>19</v>
      </c>
      <c r="C61" s="4">
        <v>20</v>
      </c>
      <c r="D61" s="4">
        <v>21</v>
      </c>
      <c r="E61" s="4">
        <v>22</v>
      </c>
      <c r="F61" s="4">
        <v>25</v>
      </c>
      <c r="G61" s="4">
        <v>23</v>
      </c>
      <c r="H61" s="4">
        <v>23</v>
      </c>
      <c r="I61" s="4">
        <v>23</v>
      </c>
      <c r="J61" s="4">
        <v>29</v>
      </c>
      <c r="K61" s="4">
        <v>29</v>
      </c>
      <c r="L61" s="4">
        <v>29</v>
      </c>
      <c r="M61" s="4">
        <v>29</v>
      </c>
      <c r="N61" s="4">
        <v>31</v>
      </c>
      <c r="O61" s="4">
        <v>31</v>
      </c>
      <c r="P61" s="4">
        <v>31</v>
      </c>
      <c r="Q61" s="4">
        <v>31</v>
      </c>
      <c r="R61" s="4">
        <v>30</v>
      </c>
      <c r="S61" s="4">
        <v>29</v>
      </c>
      <c r="T61" s="4">
        <v>30</v>
      </c>
      <c r="U61" s="4">
        <v>27</v>
      </c>
      <c r="V61" s="4">
        <v>30</v>
      </c>
      <c r="W61" s="4">
        <v>36</v>
      </c>
      <c r="X61">
        <v>42</v>
      </c>
      <c r="Y61">
        <v>42</v>
      </c>
      <c r="Z61">
        <v>48</v>
      </c>
      <c r="AA61">
        <v>57</v>
      </c>
      <c r="AB61">
        <v>71</v>
      </c>
      <c r="AC61">
        <v>70</v>
      </c>
      <c r="AD61">
        <v>73</v>
      </c>
      <c r="AE61">
        <v>76</v>
      </c>
      <c r="AF61">
        <v>80</v>
      </c>
      <c r="AG61">
        <v>85</v>
      </c>
      <c r="AH61">
        <v>83</v>
      </c>
      <c r="AI61">
        <v>89</v>
      </c>
      <c r="AJ61">
        <v>97</v>
      </c>
      <c r="AK61">
        <v>96</v>
      </c>
      <c r="AL61">
        <v>96</v>
      </c>
    </row>
    <row r="62" spans="1:38" x14ac:dyDescent="0.2">
      <c r="A62" s="1" t="s">
        <v>128</v>
      </c>
      <c r="B62" s="4">
        <v>23</v>
      </c>
      <c r="C62" s="4">
        <v>23</v>
      </c>
      <c r="D62" s="4">
        <v>25</v>
      </c>
      <c r="E62" s="4">
        <v>26</v>
      </c>
      <c r="F62" s="4">
        <v>31</v>
      </c>
      <c r="G62" s="4">
        <v>49</v>
      </c>
      <c r="H62" s="4">
        <v>53</v>
      </c>
      <c r="I62" s="4">
        <v>53</v>
      </c>
      <c r="J62" s="4">
        <v>57</v>
      </c>
      <c r="K62" s="4">
        <v>59</v>
      </c>
      <c r="L62" s="4">
        <v>60</v>
      </c>
      <c r="M62" s="4">
        <v>61</v>
      </c>
      <c r="N62" s="4">
        <v>61</v>
      </c>
      <c r="O62" s="4">
        <v>67</v>
      </c>
      <c r="P62" s="4">
        <v>71</v>
      </c>
      <c r="Q62" s="4">
        <v>71</v>
      </c>
      <c r="R62" s="4">
        <v>73</v>
      </c>
      <c r="S62" s="4">
        <v>77</v>
      </c>
      <c r="T62" s="4">
        <v>77</v>
      </c>
      <c r="U62" s="4">
        <v>79</v>
      </c>
      <c r="V62" s="4">
        <v>80</v>
      </c>
      <c r="W62" s="4">
        <v>77</v>
      </c>
      <c r="X62">
        <v>74</v>
      </c>
      <c r="Y62">
        <v>75</v>
      </c>
      <c r="Z62">
        <v>70</v>
      </c>
      <c r="AA62">
        <v>63</v>
      </c>
      <c r="AB62">
        <v>53</v>
      </c>
      <c r="AC62">
        <v>51</v>
      </c>
      <c r="AD62">
        <v>47</v>
      </c>
      <c r="AE62">
        <v>43</v>
      </c>
      <c r="AF62">
        <v>37</v>
      </c>
      <c r="AG62">
        <v>32</v>
      </c>
      <c r="AH62">
        <v>32</v>
      </c>
      <c r="AI62">
        <v>22</v>
      </c>
      <c r="AJ62">
        <v>16</v>
      </c>
      <c r="AK62">
        <v>18</v>
      </c>
      <c r="AL62">
        <v>17</v>
      </c>
    </row>
    <row r="63" spans="1:38" ht="32" x14ac:dyDescent="0.2">
      <c r="A63" s="24" t="s">
        <v>129</v>
      </c>
      <c r="B63" s="21" t="s">
        <v>139</v>
      </c>
      <c r="C63" s="21" t="s">
        <v>139</v>
      </c>
      <c r="D63" s="21" t="s">
        <v>139</v>
      </c>
      <c r="E63" s="21" t="s">
        <v>139</v>
      </c>
      <c r="F63" s="21" t="s">
        <v>139</v>
      </c>
      <c r="G63" s="9" t="s">
        <v>139</v>
      </c>
      <c r="H63" s="9" t="s">
        <v>139</v>
      </c>
      <c r="I63" s="9" t="s">
        <v>139</v>
      </c>
      <c r="J63" s="9" t="s">
        <v>139</v>
      </c>
      <c r="K63" s="9" t="s">
        <v>139</v>
      </c>
      <c r="L63" s="9" t="s">
        <v>139</v>
      </c>
      <c r="M63" s="9" t="s">
        <v>139</v>
      </c>
      <c r="N63" s="9" t="s">
        <v>139</v>
      </c>
      <c r="O63" s="9" t="s">
        <v>139</v>
      </c>
      <c r="P63" s="9" t="s">
        <v>139</v>
      </c>
      <c r="Q63" s="9" t="s">
        <v>139</v>
      </c>
      <c r="R63" s="9" t="s">
        <v>139</v>
      </c>
      <c r="S63" s="9" t="s">
        <v>139</v>
      </c>
      <c r="T63" s="9" t="s">
        <v>139</v>
      </c>
      <c r="U63" s="9" t="s">
        <v>139</v>
      </c>
      <c r="V63" s="9" t="s">
        <v>139</v>
      </c>
      <c r="W63" s="9" t="s">
        <v>139</v>
      </c>
      <c r="X63" t="s">
        <v>139</v>
      </c>
      <c r="Y63" t="s">
        <v>139</v>
      </c>
      <c r="Z63" t="s">
        <v>139</v>
      </c>
      <c r="AA63" t="s">
        <v>139</v>
      </c>
      <c r="AB63" t="s">
        <v>139</v>
      </c>
      <c r="AC63" t="s">
        <v>139</v>
      </c>
      <c r="AD63" t="s">
        <v>139</v>
      </c>
      <c r="AE63" t="s">
        <v>139</v>
      </c>
      <c r="AF63" t="s">
        <v>139</v>
      </c>
      <c r="AG63" t="s">
        <v>139</v>
      </c>
      <c r="AH63" t="s">
        <v>139</v>
      </c>
      <c r="AI63" t="s">
        <v>139</v>
      </c>
      <c r="AJ63" t="s">
        <v>139</v>
      </c>
      <c r="AK63" t="s">
        <v>139</v>
      </c>
      <c r="AL63" t="s">
        <v>139</v>
      </c>
    </row>
    <row r="64" spans="1:38" x14ac:dyDescent="0.2">
      <c r="A64" s="1" t="s">
        <v>130</v>
      </c>
      <c r="B64" s="4">
        <v>129</v>
      </c>
      <c r="C64" s="4">
        <v>128</v>
      </c>
      <c r="D64" s="4">
        <v>125</v>
      </c>
      <c r="E64" s="4">
        <v>124</v>
      </c>
      <c r="F64" s="4">
        <v>115</v>
      </c>
      <c r="G64" s="4">
        <v>95</v>
      </c>
      <c r="H64" s="4">
        <v>91</v>
      </c>
      <c r="I64" s="4">
        <v>91</v>
      </c>
      <c r="J64" s="4">
        <v>80</v>
      </c>
      <c r="K64" s="4">
        <v>77</v>
      </c>
      <c r="L64" s="4">
        <v>75</v>
      </c>
      <c r="M64" s="4">
        <v>74</v>
      </c>
      <c r="N64" s="4">
        <v>72</v>
      </c>
      <c r="O64" s="4">
        <v>65</v>
      </c>
      <c r="P64" s="4">
        <v>62</v>
      </c>
      <c r="Q64" s="4">
        <v>61</v>
      </c>
      <c r="R64" s="4">
        <v>58</v>
      </c>
      <c r="S64" s="4">
        <v>52</v>
      </c>
      <c r="T64" s="4">
        <v>48</v>
      </c>
      <c r="U64" s="4">
        <v>49</v>
      </c>
      <c r="V64" s="4">
        <v>47</v>
      </c>
      <c r="W64" s="4">
        <v>45</v>
      </c>
      <c r="X64">
        <v>39</v>
      </c>
      <c r="Y64">
        <v>36</v>
      </c>
      <c r="Z64">
        <v>32</v>
      </c>
      <c r="AA64">
        <v>26</v>
      </c>
      <c r="AB64">
        <v>16</v>
      </c>
      <c r="AC64">
        <v>17</v>
      </c>
      <c r="AD64">
        <v>17</v>
      </c>
      <c r="AE64">
        <v>16</v>
      </c>
      <c r="AF64">
        <v>9</v>
      </c>
      <c r="AG64">
        <v>8</v>
      </c>
      <c r="AH64">
        <v>8</v>
      </c>
      <c r="AI64">
        <v>8</v>
      </c>
      <c r="AJ64">
        <v>6</v>
      </c>
      <c r="AK64">
        <v>2</v>
      </c>
      <c r="AL64">
        <v>1</v>
      </c>
    </row>
    <row r="65" spans="1:38" x14ac:dyDescent="0.2">
      <c r="A65" s="4" t="s">
        <v>131</v>
      </c>
      <c r="B65" s="4">
        <v>2</v>
      </c>
      <c r="C65" s="4">
        <v>2</v>
      </c>
      <c r="D65" s="4">
        <v>2</v>
      </c>
      <c r="E65" s="4">
        <v>1</v>
      </c>
      <c r="F65" s="4">
        <v>1</v>
      </c>
      <c r="G65" s="4">
        <v>1</v>
      </c>
      <c r="H65" s="4">
        <v>1</v>
      </c>
      <c r="I65" s="4">
        <v>1</v>
      </c>
      <c r="J65" s="4">
        <v>1</v>
      </c>
      <c r="K65" s="4">
        <v>1</v>
      </c>
      <c r="L65" s="4">
        <v>1</v>
      </c>
      <c r="M65" s="4">
        <v>1</v>
      </c>
      <c r="N65" s="4">
        <v>1</v>
      </c>
      <c r="O65" s="4">
        <v>1</v>
      </c>
      <c r="P65" s="4">
        <v>1</v>
      </c>
      <c r="Q65" s="4">
        <v>1</v>
      </c>
      <c r="R65" s="4">
        <v>1</v>
      </c>
      <c r="S65" s="4">
        <v>1</v>
      </c>
      <c r="T65" s="4">
        <v>2</v>
      </c>
      <c r="U65" s="4">
        <v>2</v>
      </c>
      <c r="V65" s="4">
        <v>1</v>
      </c>
      <c r="W65" s="4">
        <v>1</v>
      </c>
      <c r="X65">
        <v>1</v>
      </c>
      <c r="Y65">
        <v>1</v>
      </c>
      <c r="Z65">
        <v>2</v>
      </c>
      <c r="AA65">
        <v>2</v>
      </c>
      <c r="AB65">
        <v>2</v>
      </c>
      <c r="AC65">
        <v>1</v>
      </c>
      <c r="AD65">
        <v>2</v>
      </c>
      <c r="AE65">
        <v>2</v>
      </c>
      <c r="AF65">
        <v>3</v>
      </c>
      <c r="AG65">
        <v>3</v>
      </c>
      <c r="AH65">
        <v>3</v>
      </c>
      <c r="AI65">
        <v>3</v>
      </c>
      <c r="AJ65">
        <v>3</v>
      </c>
      <c r="AK65">
        <v>3</v>
      </c>
      <c r="AL65">
        <v>3</v>
      </c>
    </row>
    <row r="66" spans="1:38" x14ac:dyDescent="0.2">
      <c r="A66" s="4" t="s">
        <v>132</v>
      </c>
      <c r="B66" s="4">
        <v>2</v>
      </c>
      <c r="C66" s="4">
        <v>2</v>
      </c>
      <c r="D66" s="4">
        <v>2</v>
      </c>
      <c r="E66" s="4">
        <v>2</v>
      </c>
      <c r="F66" s="4">
        <v>3</v>
      </c>
      <c r="G66" s="4">
        <v>4</v>
      </c>
      <c r="H66" s="4">
        <v>4</v>
      </c>
      <c r="I66" s="4">
        <v>4</v>
      </c>
      <c r="J66" s="4">
        <v>5</v>
      </c>
      <c r="K66" s="4">
        <v>5</v>
      </c>
      <c r="L66" s="4">
        <v>5</v>
      </c>
      <c r="M66" s="4">
        <v>5</v>
      </c>
      <c r="N66" s="4">
        <v>5</v>
      </c>
      <c r="O66" s="4">
        <v>5</v>
      </c>
      <c r="P66" s="4">
        <v>5</v>
      </c>
      <c r="Q66" s="4">
        <v>5</v>
      </c>
      <c r="R66" s="4">
        <v>5</v>
      </c>
      <c r="S66" s="4">
        <v>5</v>
      </c>
      <c r="T66" s="4">
        <v>5</v>
      </c>
      <c r="U66" s="4">
        <v>5</v>
      </c>
      <c r="V66" s="4">
        <v>5</v>
      </c>
      <c r="W66" s="4">
        <v>5</v>
      </c>
      <c r="X66">
        <v>5</v>
      </c>
      <c r="Y66">
        <v>5</v>
      </c>
      <c r="Z66">
        <v>5</v>
      </c>
      <c r="AA66">
        <v>5</v>
      </c>
      <c r="AB66">
        <v>5</v>
      </c>
      <c r="AC66">
        <v>5</v>
      </c>
      <c r="AD66">
        <v>5</v>
      </c>
      <c r="AE66">
        <v>5</v>
      </c>
      <c r="AF66">
        <v>5</v>
      </c>
      <c r="AG66">
        <v>5</v>
      </c>
      <c r="AH66">
        <v>5</v>
      </c>
      <c r="AI66">
        <v>5</v>
      </c>
      <c r="AJ66">
        <v>6</v>
      </c>
      <c r="AK66">
        <v>5</v>
      </c>
      <c r="AL66">
        <v>5</v>
      </c>
    </row>
    <row r="67" spans="1:38" x14ac:dyDescent="0.2">
      <c r="A67" s="4" t="s">
        <v>133</v>
      </c>
      <c r="B67" s="21" t="s">
        <v>139</v>
      </c>
      <c r="C67" s="21" t="s">
        <v>139</v>
      </c>
      <c r="D67" s="21" t="s">
        <v>139</v>
      </c>
      <c r="E67" s="21" t="s">
        <v>139</v>
      </c>
      <c r="F67" s="21" t="s">
        <v>139</v>
      </c>
      <c r="G67" s="9" t="s">
        <v>139</v>
      </c>
      <c r="H67" s="9" t="s">
        <v>139</v>
      </c>
      <c r="I67" s="9" t="s">
        <v>139</v>
      </c>
      <c r="J67" s="4">
        <v>1</v>
      </c>
      <c r="K67" s="4">
        <v>1</v>
      </c>
      <c r="L67" s="4">
        <v>1</v>
      </c>
      <c r="M67" s="4">
        <v>1</v>
      </c>
      <c r="N67" s="4">
        <v>1</v>
      </c>
      <c r="O67" s="4">
        <v>1</v>
      </c>
      <c r="P67" s="4">
        <v>1</v>
      </c>
      <c r="Q67" s="4">
        <v>1</v>
      </c>
      <c r="R67" s="4">
        <v>1</v>
      </c>
      <c r="S67" s="4">
        <v>2</v>
      </c>
      <c r="T67" s="4">
        <v>2</v>
      </c>
      <c r="U67" s="4">
        <v>2</v>
      </c>
      <c r="V67" s="4">
        <v>2</v>
      </c>
      <c r="W67" s="4">
        <v>2</v>
      </c>
      <c r="X67">
        <v>2</v>
      </c>
      <c r="Y67">
        <v>2</v>
      </c>
      <c r="Z67">
        <v>3</v>
      </c>
      <c r="AA67">
        <v>3</v>
      </c>
      <c r="AB67">
        <v>3</v>
      </c>
      <c r="AC67">
        <v>3</v>
      </c>
      <c r="AD67">
        <v>3</v>
      </c>
      <c r="AE67">
        <v>3</v>
      </c>
      <c r="AF67">
        <v>3</v>
      </c>
      <c r="AG67">
        <v>3</v>
      </c>
      <c r="AH67">
        <v>3</v>
      </c>
      <c r="AI67">
        <v>4</v>
      </c>
      <c r="AJ67">
        <v>4</v>
      </c>
      <c r="AK67">
        <v>5</v>
      </c>
      <c r="AL67">
        <v>5</v>
      </c>
    </row>
    <row r="68" spans="1:38" x14ac:dyDescent="0.2">
      <c r="A68" s="4" t="s">
        <v>134</v>
      </c>
      <c r="B68" s="4">
        <v>3</v>
      </c>
      <c r="C68" s="4">
        <v>3</v>
      </c>
      <c r="D68" s="4">
        <v>3</v>
      </c>
      <c r="E68" s="4">
        <v>3</v>
      </c>
      <c r="F68" s="4">
        <v>3</v>
      </c>
      <c r="G68" s="4">
        <v>3</v>
      </c>
      <c r="H68" s="4">
        <v>3</v>
      </c>
      <c r="I68" s="4">
        <v>3</v>
      </c>
      <c r="J68" s="4">
        <v>3</v>
      </c>
      <c r="K68" s="4">
        <v>3</v>
      </c>
      <c r="L68" s="4">
        <v>3</v>
      </c>
      <c r="M68" s="4">
        <v>3</v>
      </c>
      <c r="N68" s="4">
        <v>3</v>
      </c>
      <c r="O68" s="4">
        <v>3</v>
      </c>
      <c r="P68" s="4">
        <v>3</v>
      </c>
      <c r="Q68" s="4">
        <v>3</v>
      </c>
      <c r="R68" s="4">
        <v>2</v>
      </c>
      <c r="S68" s="4">
        <v>2</v>
      </c>
      <c r="T68" s="4">
        <v>2</v>
      </c>
      <c r="U68" s="4">
        <v>2</v>
      </c>
      <c r="V68" s="4">
        <v>2</v>
      </c>
      <c r="W68" s="4">
        <v>1</v>
      </c>
      <c r="X68">
        <v>2</v>
      </c>
      <c r="Y68">
        <v>2</v>
      </c>
      <c r="Z68">
        <v>3</v>
      </c>
      <c r="AA68">
        <v>6</v>
      </c>
      <c r="AB68">
        <v>9</v>
      </c>
      <c r="AC68">
        <v>9</v>
      </c>
      <c r="AD68">
        <v>9</v>
      </c>
      <c r="AE68">
        <v>10</v>
      </c>
      <c r="AF68">
        <v>11</v>
      </c>
      <c r="AG68">
        <v>11</v>
      </c>
      <c r="AH68">
        <v>11</v>
      </c>
      <c r="AI68">
        <v>13</v>
      </c>
      <c r="AJ68">
        <v>11</v>
      </c>
      <c r="AK68">
        <v>11</v>
      </c>
      <c r="AL68">
        <v>11</v>
      </c>
    </row>
    <row r="69" spans="1:38" x14ac:dyDescent="0.2">
      <c r="A69" s="4" t="s">
        <v>135</v>
      </c>
      <c r="B69" s="21" t="s">
        <v>139</v>
      </c>
      <c r="C69" s="21" t="s">
        <v>139</v>
      </c>
      <c r="D69" s="21" t="s">
        <v>139</v>
      </c>
      <c r="E69" s="21" t="s">
        <v>139</v>
      </c>
      <c r="F69" s="21" t="s">
        <v>139</v>
      </c>
      <c r="G69" s="9" t="s">
        <v>139</v>
      </c>
      <c r="H69" s="9" t="s">
        <v>139</v>
      </c>
      <c r="I69" s="9" t="s">
        <v>139</v>
      </c>
      <c r="J69" s="9" t="s">
        <v>139</v>
      </c>
      <c r="K69" s="9" t="s">
        <v>139</v>
      </c>
      <c r="L69" s="9" t="s">
        <v>139</v>
      </c>
      <c r="M69" s="9" t="s">
        <v>139</v>
      </c>
      <c r="N69" s="9" t="s">
        <v>139</v>
      </c>
      <c r="O69" s="9" t="s">
        <v>139</v>
      </c>
      <c r="P69" s="9" t="s">
        <v>139</v>
      </c>
      <c r="Q69" s="9" t="s">
        <v>139</v>
      </c>
      <c r="R69" s="9" t="s">
        <v>139</v>
      </c>
      <c r="S69" s="9" t="s">
        <v>139</v>
      </c>
      <c r="T69" s="9" t="s">
        <v>139</v>
      </c>
      <c r="U69" s="9" t="s">
        <v>139</v>
      </c>
      <c r="V69" s="9" t="s">
        <v>139</v>
      </c>
      <c r="W69" s="9" t="s">
        <v>139</v>
      </c>
      <c r="X69" t="s">
        <v>139</v>
      </c>
      <c r="Y69" t="s">
        <v>139</v>
      </c>
      <c r="Z69" t="s">
        <v>139</v>
      </c>
      <c r="AA69" t="s">
        <v>139</v>
      </c>
      <c r="AB69" t="s">
        <v>139</v>
      </c>
      <c r="AC69" t="s">
        <v>139</v>
      </c>
      <c r="AD69" t="s">
        <v>139</v>
      </c>
      <c r="AE69" t="s">
        <v>139</v>
      </c>
      <c r="AF69" t="s">
        <v>139</v>
      </c>
      <c r="AG69" t="s">
        <v>139</v>
      </c>
      <c r="AH69" t="s">
        <v>139</v>
      </c>
      <c r="AI69" t="s">
        <v>139</v>
      </c>
      <c r="AJ69" t="s">
        <v>139</v>
      </c>
      <c r="AK69" t="s">
        <v>139</v>
      </c>
      <c r="AL69" t="s">
        <v>139</v>
      </c>
    </row>
    <row r="70" spans="1:38" x14ac:dyDescent="0.2">
      <c r="A70" s="4" t="s">
        <v>136</v>
      </c>
      <c r="B70" s="4">
        <v>2</v>
      </c>
      <c r="C70" s="4">
        <v>2</v>
      </c>
      <c r="D70" s="4">
        <v>2</v>
      </c>
      <c r="E70" s="4">
        <v>2</v>
      </c>
      <c r="F70" s="4">
        <v>2</v>
      </c>
      <c r="G70" s="5">
        <v>3</v>
      </c>
      <c r="H70" s="5">
        <v>3</v>
      </c>
      <c r="I70" s="5">
        <v>3</v>
      </c>
      <c r="J70" s="5">
        <v>3</v>
      </c>
      <c r="K70" s="5">
        <v>3</v>
      </c>
      <c r="L70" s="5">
        <v>3</v>
      </c>
      <c r="M70" s="5">
        <v>3</v>
      </c>
      <c r="N70" s="5">
        <v>3</v>
      </c>
      <c r="O70" s="5">
        <v>4</v>
      </c>
      <c r="P70" s="6">
        <v>4</v>
      </c>
      <c r="Q70" s="4">
        <v>4</v>
      </c>
      <c r="R70" s="4">
        <v>4</v>
      </c>
      <c r="S70" s="4">
        <v>4</v>
      </c>
      <c r="T70" s="4">
        <v>4</v>
      </c>
      <c r="U70" s="4">
        <v>4</v>
      </c>
      <c r="V70" s="4">
        <v>3</v>
      </c>
      <c r="W70" s="4">
        <v>3</v>
      </c>
      <c r="X70">
        <v>3</v>
      </c>
      <c r="Y70">
        <v>4</v>
      </c>
      <c r="Z70">
        <v>4</v>
      </c>
      <c r="AA70">
        <v>4</v>
      </c>
      <c r="AB70">
        <v>5</v>
      </c>
      <c r="AC70">
        <v>5</v>
      </c>
      <c r="AD70">
        <v>6</v>
      </c>
      <c r="AE70">
        <v>6</v>
      </c>
      <c r="AF70">
        <v>6</v>
      </c>
      <c r="AG70">
        <v>6</v>
      </c>
      <c r="AH70">
        <v>6</v>
      </c>
      <c r="AI70">
        <v>6</v>
      </c>
      <c r="AJ70">
        <v>6</v>
      </c>
      <c r="AK70">
        <v>6</v>
      </c>
      <c r="AL70">
        <v>6</v>
      </c>
    </row>
    <row r="71" spans="1:38" x14ac:dyDescent="0.2">
      <c r="A71" s="7" t="s">
        <v>137</v>
      </c>
      <c r="B71" s="8">
        <v>180</v>
      </c>
      <c r="C71" s="8">
        <v>180</v>
      </c>
      <c r="D71" s="8">
        <v>180</v>
      </c>
      <c r="E71" s="8">
        <v>180</v>
      </c>
      <c r="F71" s="8">
        <v>180</v>
      </c>
      <c r="G71" s="9">
        <v>178</v>
      </c>
      <c r="H71" s="4">
        <v>178</v>
      </c>
      <c r="I71" s="4">
        <v>178</v>
      </c>
      <c r="J71" s="4">
        <v>179</v>
      </c>
      <c r="K71" s="4">
        <v>178</v>
      </c>
      <c r="L71" s="4">
        <v>177</v>
      </c>
      <c r="M71" s="4">
        <v>177</v>
      </c>
      <c r="N71" s="4">
        <v>177</v>
      </c>
      <c r="O71" s="4">
        <v>177</v>
      </c>
      <c r="P71" s="4">
        <v>178</v>
      </c>
      <c r="Q71" s="4">
        <v>177</v>
      </c>
      <c r="R71" s="4">
        <v>174</v>
      </c>
      <c r="S71" s="4">
        <v>172</v>
      </c>
      <c r="T71" s="4">
        <v>170</v>
      </c>
      <c r="U71" s="4">
        <v>170</v>
      </c>
      <c r="V71" s="4">
        <v>170</v>
      </c>
      <c r="W71" s="4">
        <v>170</v>
      </c>
      <c r="X71">
        <v>168</v>
      </c>
      <c r="Y71">
        <v>167</v>
      </c>
      <c r="Z71">
        <v>167</v>
      </c>
      <c r="AA71">
        <v>166</v>
      </c>
      <c r="AB71">
        <v>164</v>
      </c>
      <c r="AC71">
        <v>161</v>
      </c>
      <c r="AD71">
        <v>162</v>
      </c>
      <c r="AE71">
        <v>161</v>
      </c>
      <c r="AF71">
        <v>154</v>
      </c>
      <c r="AG71">
        <v>153</v>
      </c>
      <c r="AH71">
        <v>151</v>
      </c>
      <c r="AI71">
        <v>150</v>
      </c>
      <c r="AJ71">
        <v>149</v>
      </c>
      <c r="AK71">
        <v>146</v>
      </c>
      <c r="AL71">
        <v>144</v>
      </c>
    </row>
    <row r="73" spans="1:38" ht="22" x14ac:dyDescent="0.3">
      <c r="A73" s="54" t="s">
        <v>141</v>
      </c>
    </row>
    <row r="74" spans="1:38" x14ac:dyDescent="0.2">
      <c r="A74" s="12" t="s">
        <v>101</v>
      </c>
      <c r="B74" s="13" t="s">
        <v>102</v>
      </c>
      <c r="C74" s="13" t="s">
        <v>103</v>
      </c>
      <c r="D74" s="13" t="s">
        <v>104</v>
      </c>
      <c r="E74" s="13" t="s">
        <v>105</v>
      </c>
      <c r="F74" s="13" t="s">
        <v>106</v>
      </c>
      <c r="G74" s="13" t="s">
        <v>107</v>
      </c>
      <c r="H74" s="13" t="s">
        <v>108</v>
      </c>
      <c r="I74" s="13" t="s">
        <v>109</v>
      </c>
      <c r="J74" s="13" t="s">
        <v>110</v>
      </c>
      <c r="K74" s="13" t="s">
        <v>111</v>
      </c>
      <c r="L74" s="13" t="s">
        <v>112</v>
      </c>
      <c r="M74" s="13" t="s">
        <v>113</v>
      </c>
      <c r="N74" s="13" t="s">
        <v>114</v>
      </c>
      <c r="O74" s="13" t="s">
        <v>115</v>
      </c>
      <c r="P74" s="13" t="s">
        <v>116</v>
      </c>
      <c r="Q74" s="13" t="s">
        <v>117</v>
      </c>
      <c r="R74" s="13" t="s">
        <v>118</v>
      </c>
      <c r="S74" s="13" t="s">
        <v>119</v>
      </c>
      <c r="T74" s="13" t="s">
        <v>120</v>
      </c>
      <c r="U74" s="13" t="s">
        <v>121</v>
      </c>
      <c r="V74" s="13" t="s">
        <v>122</v>
      </c>
      <c r="W74" s="13" t="s">
        <v>123</v>
      </c>
      <c r="X74" s="13" t="s">
        <v>124</v>
      </c>
      <c r="Y74" s="13" t="s">
        <v>125</v>
      </c>
      <c r="Z74" s="13" t="s">
        <v>205</v>
      </c>
      <c r="AA74" s="13" t="s">
        <v>206</v>
      </c>
      <c r="AB74" s="13" t="s">
        <v>207</v>
      </c>
      <c r="AC74" s="13" t="s">
        <v>208</v>
      </c>
      <c r="AD74" s="80" t="s">
        <v>210</v>
      </c>
      <c r="AE74" s="80" t="s">
        <v>211</v>
      </c>
      <c r="AF74" s="80" t="s">
        <v>212</v>
      </c>
      <c r="AG74" s="80" t="s">
        <v>213</v>
      </c>
      <c r="AH74" s="88" t="s">
        <v>214</v>
      </c>
      <c r="AI74" s="88" t="s">
        <v>215</v>
      </c>
      <c r="AJ74" s="80" t="s">
        <v>216</v>
      </c>
      <c r="AK74" s="88" t="s">
        <v>217</v>
      </c>
      <c r="AL74" s="88" t="s">
        <v>218</v>
      </c>
    </row>
    <row r="75" spans="1:38" x14ac:dyDescent="0.2">
      <c r="A75" s="1" t="s">
        <v>10</v>
      </c>
      <c r="B75" s="2">
        <v>0.1452</v>
      </c>
      <c r="C75" s="2">
        <v>0.15870000000000001</v>
      </c>
      <c r="D75" s="2">
        <v>0.15870000000000001</v>
      </c>
      <c r="E75" s="25">
        <v>0.15870000000000001</v>
      </c>
      <c r="F75" s="25">
        <v>0.15620000000000001</v>
      </c>
      <c r="G75" s="3">
        <v>0.1406</v>
      </c>
      <c r="H75" s="2">
        <v>0.1406</v>
      </c>
      <c r="I75" s="2">
        <v>0.1406</v>
      </c>
      <c r="J75" s="2">
        <v>0.16420000000000001</v>
      </c>
      <c r="K75" s="2">
        <v>0.1739</v>
      </c>
      <c r="L75" s="2">
        <v>0.1739</v>
      </c>
      <c r="M75" s="2">
        <v>0.1739</v>
      </c>
      <c r="N75" s="2">
        <v>0.17649999999999999</v>
      </c>
      <c r="O75" s="2">
        <v>0.2059</v>
      </c>
      <c r="P75" s="2">
        <v>0.22059999999999999</v>
      </c>
      <c r="Q75" s="2">
        <v>0.22059999999999999</v>
      </c>
      <c r="R75" s="2">
        <v>0.22389999999999999</v>
      </c>
      <c r="S75" s="2">
        <v>0.22389999999999999</v>
      </c>
      <c r="T75" s="78">
        <v>0.2273</v>
      </c>
      <c r="U75" s="78">
        <v>0.2273</v>
      </c>
      <c r="V75" s="78">
        <v>0.2273</v>
      </c>
      <c r="W75" s="78">
        <v>0.2273</v>
      </c>
      <c r="X75" s="78">
        <v>0.2273</v>
      </c>
      <c r="Y75" s="78">
        <v>0.2424</v>
      </c>
      <c r="Z75" s="78">
        <v>0.2576</v>
      </c>
      <c r="AA75" s="78">
        <v>0.28570000000000001</v>
      </c>
      <c r="AB75" s="78">
        <v>0.2969</v>
      </c>
      <c r="AC75" s="78">
        <v>0.28570000000000001</v>
      </c>
      <c r="AD75" s="78">
        <v>0.28570000000000001</v>
      </c>
      <c r="AE75" s="85">
        <v>0.28570000000000001</v>
      </c>
      <c r="AF75" s="85">
        <v>0.3115</v>
      </c>
      <c r="AG75" s="85">
        <v>0.3276</v>
      </c>
      <c r="AH75" s="85">
        <v>0.35089999999999999</v>
      </c>
      <c r="AI75" s="85">
        <v>0.33929999999999999</v>
      </c>
      <c r="AJ75" s="85">
        <v>0.54349999999999998</v>
      </c>
      <c r="AK75" s="85">
        <v>0.54349999999999998</v>
      </c>
      <c r="AL75" s="85">
        <v>0.5333</v>
      </c>
    </row>
    <row r="77" spans="1:38" x14ac:dyDescent="0.2">
      <c r="A77" s="12" t="s">
        <v>126</v>
      </c>
      <c r="B77" s="13" t="s">
        <v>102</v>
      </c>
      <c r="C77" s="13" t="s">
        <v>103</v>
      </c>
      <c r="D77" s="13" t="s">
        <v>104</v>
      </c>
      <c r="E77" s="13" t="s">
        <v>105</v>
      </c>
      <c r="F77" s="13" t="s">
        <v>106</v>
      </c>
      <c r="G77" s="13" t="s">
        <v>107</v>
      </c>
      <c r="H77" s="13" t="s">
        <v>108</v>
      </c>
      <c r="I77" s="13" t="s">
        <v>109</v>
      </c>
      <c r="J77" s="13" t="s">
        <v>110</v>
      </c>
      <c r="K77" s="13" t="s">
        <v>111</v>
      </c>
      <c r="L77" s="13" t="s">
        <v>112</v>
      </c>
      <c r="M77" s="13" t="s">
        <v>113</v>
      </c>
      <c r="N77" s="13" t="s">
        <v>114</v>
      </c>
      <c r="O77" s="13" t="s">
        <v>115</v>
      </c>
      <c r="P77" s="13" t="s">
        <v>116</v>
      </c>
      <c r="Q77" s="13" t="s">
        <v>117</v>
      </c>
      <c r="R77" s="13" t="s">
        <v>118</v>
      </c>
      <c r="S77" s="13" t="s">
        <v>119</v>
      </c>
      <c r="T77" s="13" t="s">
        <v>120</v>
      </c>
      <c r="U77" s="13" t="s">
        <v>121</v>
      </c>
      <c r="V77" s="13" t="s">
        <v>122</v>
      </c>
      <c r="W77" s="13" t="s">
        <v>123</v>
      </c>
      <c r="X77" s="13" t="s">
        <v>124</v>
      </c>
      <c r="Y77" s="13" t="s">
        <v>125</v>
      </c>
      <c r="Z77" s="13" t="s">
        <v>205</v>
      </c>
      <c r="AA77" s="13" t="s">
        <v>206</v>
      </c>
      <c r="AB77" s="13" t="s">
        <v>207</v>
      </c>
      <c r="AC77" s="13" t="s">
        <v>208</v>
      </c>
      <c r="AD77" s="80" t="s">
        <v>210</v>
      </c>
      <c r="AE77" s="80" t="s">
        <v>211</v>
      </c>
      <c r="AF77" s="80" t="s">
        <v>212</v>
      </c>
      <c r="AG77" s="80" t="s">
        <v>213</v>
      </c>
      <c r="AH77" s="88" t="s">
        <v>214</v>
      </c>
      <c r="AI77" s="88" t="s">
        <v>215</v>
      </c>
      <c r="AJ77" s="80" t="s">
        <v>216</v>
      </c>
      <c r="AK77" s="88" t="s">
        <v>217</v>
      </c>
      <c r="AL77" s="88" t="s">
        <v>218</v>
      </c>
    </row>
    <row r="78" spans="1:38" x14ac:dyDescent="0.2">
      <c r="A78" s="1" t="s">
        <v>127</v>
      </c>
      <c r="B78" s="4">
        <v>9</v>
      </c>
      <c r="C78" s="4">
        <v>10</v>
      </c>
      <c r="D78" s="4">
        <v>10</v>
      </c>
      <c r="E78" s="20">
        <v>10</v>
      </c>
      <c r="F78" s="20">
        <v>10</v>
      </c>
      <c r="G78" s="4">
        <v>9</v>
      </c>
      <c r="H78" s="4">
        <v>9</v>
      </c>
      <c r="I78" s="4">
        <v>9</v>
      </c>
      <c r="J78" s="4">
        <v>11</v>
      </c>
      <c r="K78" s="4">
        <v>12</v>
      </c>
      <c r="L78" s="4">
        <v>12</v>
      </c>
      <c r="M78" s="4">
        <v>12</v>
      </c>
      <c r="N78" s="4">
        <v>12</v>
      </c>
      <c r="O78" s="4">
        <v>14</v>
      </c>
      <c r="P78" s="4">
        <v>15</v>
      </c>
      <c r="Q78" s="4">
        <v>15</v>
      </c>
      <c r="R78" s="4">
        <v>15</v>
      </c>
      <c r="S78" s="4">
        <v>15</v>
      </c>
      <c r="T78">
        <v>15</v>
      </c>
      <c r="U78">
        <v>15</v>
      </c>
      <c r="V78">
        <v>15</v>
      </c>
      <c r="W78">
        <v>15</v>
      </c>
      <c r="X78">
        <v>15</v>
      </c>
      <c r="Y78">
        <v>16</v>
      </c>
      <c r="Z78">
        <v>17</v>
      </c>
      <c r="AA78">
        <v>18</v>
      </c>
      <c r="AB78">
        <v>19</v>
      </c>
      <c r="AC78">
        <v>18</v>
      </c>
      <c r="AD78">
        <v>18</v>
      </c>
      <c r="AE78">
        <v>18</v>
      </c>
      <c r="AF78">
        <v>19</v>
      </c>
      <c r="AG78">
        <v>19</v>
      </c>
      <c r="AH78">
        <v>20</v>
      </c>
      <c r="AI78">
        <v>19</v>
      </c>
      <c r="AJ78">
        <v>25</v>
      </c>
      <c r="AK78">
        <v>25</v>
      </c>
      <c r="AL78">
        <v>24</v>
      </c>
    </row>
    <row r="79" spans="1:38" x14ac:dyDescent="0.2">
      <c r="A79" s="1" t="s">
        <v>128</v>
      </c>
      <c r="B79" s="4">
        <v>5</v>
      </c>
      <c r="C79" s="4">
        <v>5</v>
      </c>
      <c r="D79" s="4">
        <v>5</v>
      </c>
      <c r="E79" s="20">
        <v>5</v>
      </c>
      <c r="F79" s="20">
        <v>6</v>
      </c>
      <c r="G79" s="4">
        <v>7</v>
      </c>
      <c r="H79" s="4">
        <v>7</v>
      </c>
      <c r="I79" s="4">
        <v>7</v>
      </c>
      <c r="J79" s="4">
        <v>7</v>
      </c>
      <c r="K79" s="4">
        <v>8</v>
      </c>
      <c r="L79" s="4">
        <v>10</v>
      </c>
      <c r="M79" s="4">
        <v>10</v>
      </c>
      <c r="N79" s="4">
        <v>12</v>
      </c>
      <c r="O79" s="4">
        <v>15</v>
      </c>
      <c r="P79" s="4">
        <v>15</v>
      </c>
      <c r="Q79" s="4">
        <v>16</v>
      </c>
      <c r="R79" s="4">
        <v>16</v>
      </c>
      <c r="S79" s="4">
        <v>17</v>
      </c>
      <c r="T79">
        <v>19</v>
      </c>
      <c r="U79">
        <v>20</v>
      </c>
      <c r="V79">
        <v>20</v>
      </c>
      <c r="W79">
        <v>20</v>
      </c>
      <c r="X79">
        <v>21</v>
      </c>
      <c r="Y79">
        <v>21</v>
      </c>
      <c r="Z79">
        <v>23</v>
      </c>
      <c r="AA79">
        <v>22</v>
      </c>
      <c r="AB79">
        <v>25</v>
      </c>
      <c r="AC79">
        <v>24</v>
      </c>
      <c r="AD79">
        <v>24</v>
      </c>
      <c r="AE79">
        <v>24</v>
      </c>
      <c r="AF79">
        <v>22</v>
      </c>
      <c r="AG79">
        <v>19</v>
      </c>
      <c r="AH79">
        <v>18</v>
      </c>
      <c r="AI79">
        <v>18</v>
      </c>
      <c r="AJ79">
        <v>9</v>
      </c>
      <c r="AK79">
        <v>9</v>
      </c>
      <c r="AL79">
        <v>9</v>
      </c>
    </row>
    <row r="80" spans="1:38" ht="32" x14ac:dyDescent="0.2">
      <c r="A80" s="24" t="s">
        <v>129</v>
      </c>
      <c r="B80" s="21" t="s">
        <v>139</v>
      </c>
      <c r="C80" s="21" t="s">
        <v>139</v>
      </c>
      <c r="D80" s="21" t="s">
        <v>139</v>
      </c>
      <c r="E80" s="21" t="s">
        <v>139</v>
      </c>
      <c r="F80" s="21" t="s">
        <v>139</v>
      </c>
      <c r="G80" s="9" t="s">
        <v>139</v>
      </c>
      <c r="H80" s="9" t="s">
        <v>139</v>
      </c>
      <c r="I80" s="9" t="s">
        <v>139</v>
      </c>
      <c r="J80" s="9" t="s">
        <v>139</v>
      </c>
      <c r="K80" s="9" t="s">
        <v>139</v>
      </c>
      <c r="L80" s="9" t="s">
        <v>139</v>
      </c>
      <c r="M80" s="9" t="s">
        <v>139</v>
      </c>
      <c r="N80" s="4">
        <v>1</v>
      </c>
      <c r="O80" s="9" t="s">
        <v>139</v>
      </c>
      <c r="P80" s="9" t="s">
        <v>139</v>
      </c>
      <c r="Q80" s="9" t="s">
        <v>139</v>
      </c>
      <c r="R80" s="9" t="s">
        <v>139</v>
      </c>
      <c r="S80" s="9" t="s">
        <v>139</v>
      </c>
      <c r="T80" t="s">
        <v>139</v>
      </c>
      <c r="U80" t="s">
        <v>139</v>
      </c>
      <c r="V80" t="s">
        <v>139</v>
      </c>
      <c r="W80" t="s">
        <v>139</v>
      </c>
      <c r="X80" t="s">
        <v>139</v>
      </c>
      <c r="Y80" t="s">
        <v>139</v>
      </c>
      <c r="Z80" t="s">
        <v>139</v>
      </c>
      <c r="AA80" t="s">
        <v>139</v>
      </c>
      <c r="AB80" t="s">
        <v>139</v>
      </c>
      <c r="AC80" t="s">
        <v>139</v>
      </c>
      <c r="AD80" t="s">
        <v>139</v>
      </c>
      <c r="AE80" t="s">
        <v>139</v>
      </c>
      <c r="AF80" t="s">
        <v>139</v>
      </c>
      <c r="AG80" t="s">
        <v>139</v>
      </c>
      <c r="AH80" t="s">
        <v>139</v>
      </c>
      <c r="AI80" t="s">
        <v>139</v>
      </c>
      <c r="AJ80" t="s">
        <v>139</v>
      </c>
      <c r="AK80" t="s">
        <v>139</v>
      </c>
      <c r="AL80" t="s">
        <v>139</v>
      </c>
    </row>
    <row r="81" spans="1:38" x14ac:dyDescent="0.2">
      <c r="A81" s="1" t="s">
        <v>130</v>
      </c>
      <c r="B81" s="4">
        <v>48</v>
      </c>
      <c r="C81" s="4">
        <v>48</v>
      </c>
      <c r="D81" s="4">
        <v>48</v>
      </c>
      <c r="E81" s="20">
        <v>48</v>
      </c>
      <c r="F81" s="20">
        <v>48</v>
      </c>
      <c r="G81" s="4">
        <v>48</v>
      </c>
      <c r="H81" s="4">
        <v>48</v>
      </c>
      <c r="I81" s="4">
        <v>48</v>
      </c>
      <c r="J81" s="4">
        <v>49</v>
      </c>
      <c r="K81" s="4">
        <v>49</v>
      </c>
      <c r="L81" s="4">
        <v>47</v>
      </c>
      <c r="M81" s="4">
        <v>47</v>
      </c>
      <c r="N81" s="4">
        <v>44</v>
      </c>
      <c r="O81" s="4">
        <v>39</v>
      </c>
      <c r="P81" s="4">
        <v>38</v>
      </c>
      <c r="Q81" s="4">
        <v>37</v>
      </c>
      <c r="R81" s="4">
        <v>36</v>
      </c>
      <c r="S81" s="4">
        <v>35</v>
      </c>
      <c r="T81">
        <v>32</v>
      </c>
      <c r="U81">
        <v>31</v>
      </c>
      <c r="V81">
        <v>31</v>
      </c>
      <c r="W81">
        <v>31</v>
      </c>
      <c r="X81">
        <v>30</v>
      </c>
      <c r="Y81">
        <v>29</v>
      </c>
      <c r="Z81">
        <v>26</v>
      </c>
      <c r="AA81">
        <v>23</v>
      </c>
      <c r="AB81">
        <v>20</v>
      </c>
      <c r="AC81">
        <v>21</v>
      </c>
      <c r="AD81">
        <v>21</v>
      </c>
      <c r="AE81">
        <v>21</v>
      </c>
      <c r="AF81">
        <v>20</v>
      </c>
      <c r="AG81">
        <v>20</v>
      </c>
      <c r="AH81">
        <v>19</v>
      </c>
      <c r="AI81">
        <v>19</v>
      </c>
      <c r="AJ81">
        <v>12</v>
      </c>
      <c r="AK81">
        <v>12</v>
      </c>
      <c r="AL81">
        <v>12</v>
      </c>
    </row>
    <row r="82" spans="1:38" x14ac:dyDescent="0.2">
      <c r="A82" s="4" t="s">
        <v>131</v>
      </c>
      <c r="B82" s="4">
        <v>1</v>
      </c>
      <c r="C82" s="4">
        <v>1</v>
      </c>
      <c r="D82" s="4">
        <v>1</v>
      </c>
      <c r="E82" s="20">
        <v>1</v>
      </c>
      <c r="F82" s="20">
        <v>1</v>
      </c>
      <c r="G82" s="4">
        <v>1</v>
      </c>
      <c r="H82" s="4">
        <v>1</v>
      </c>
      <c r="I82" s="4">
        <v>1</v>
      </c>
      <c r="J82" s="4">
        <v>1</v>
      </c>
      <c r="K82" s="4">
        <v>1</v>
      </c>
      <c r="L82" s="4">
        <v>1</v>
      </c>
      <c r="M82" s="4">
        <v>1</v>
      </c>
      <c r="N82" s="4">
        <v>1</v>
      </c>
      <c r="O82" s="4">
        <v>1</v>
      </c>
      <c r="P82" s="4">
        <v>1</v>
      </c>
      <c r="Q82" s="4">
        <v>1</v>
      </c>
      <c r="R82" s="4">
        <v>2</v>
      </c>
      <c r="S82" s="4">
        <v>2</v>
      </c>
      <c r="T82">
        <v>2</v>
      </c>
      <c r="U82">
        <v>2</v>
      </c>
      <c r="V82">
        <v>2</v>
      </c>
      <c r="W82">
        <v>2</v>
      </c>
      <c r="X82">
        <v>2</v>
      </c>
      <c r="Y82">
        <v>2</v>
      </c>
      <c r="Z82">
        <v>2</v>
      </c>
      <c r="AA82">
        <v>2</v>
      </c>
      <c r="AB82">
        <v>2</v>
      </c>
      <c r="AC82">
        <v>2</v>
      </c>
      <c r="AD82">
        <v>2</v>
      </c>
      <c r="AE82">
        <v>2</v>
      </c>
      <c r="AF82">
        <v>2</v>
      </c>
      <c r="AG82">
        <v>2</v>
      </c>
      <c r="AH82">
        <v>2</v>
      </c>
      <c r="AI82">
        <v>2</v>
      </c>
      <c r="AJ82">
        <v>2</v>
      </c>
      <c r="AK82">
        <v>2</v>
      </c>
      <c r="AL82">
        <v>2</v>
      </c>
    </row>
    <row r="83" spans="1:38" x14ac:dyDescent="0.2">
      <c r="A83" s="4" t="s">
        <v>132</v>
      </c>
      <c r="B83" s="21" t="s">
        <v>139</v>
      </c>
      <c r="C83" s="21" t="s">
        <v>139</v>
      </c>
      <c r="D83" s="21" t="s">
        <v>139</v>
      </c>
      <c r="E83" s="21" t="s">
        <v>139</v>
      </c>
      <c r="F83" s="21" t="s">
        <v>139</v>
      </c>
      <c r="G83" s="9" t="s">
        <v>139</v>
      </c>
      <c r="H83" s="9" t="s">
        <v>139</v>
      </c>
      <c r="I83" s="9" t="s">
        <v>139</v>
      </c>
      <c r="J83" s="9" t="s">
        <v>139</v>
      </c>
      <c r="K83" s="9" t="s">
        <v>139</v>
      </c>
      <c r="L83" s="9" t="s">
        <v>139</v>
      </c>
      <c r="M83" s="9" t="s">
        <v>139</v>
      </c>
      <c r="N83" s="9" t="s">
        <v>139</v>
      </c>
      <c r="O83" s="4">
        <v>1</v>
      </c>
      <c r="P83" s="4">
        <v>1</v>
      </c>
      <c r="Q83" s="4">
        <v>1</v>
      </c>
      <c r="R83" s="4">
        <v>1</v>
      </c>
      <c r="S83" s="4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</row>
    <row r="84" spans="1:38" x14ac:dyDescent="0.2">
      <c r="A84" s="4" t="s">
        <v>133</v>
      </c>
      <c r="B84" s="21" t="s">
        <v>139</v>
      </c>
      <c r="C84" s="21" t="s">
        <v>139</v>
      </c>
      <c r="D84" s="21" t="s">
        <v>139</v>
      </c>
      <c r="E84" s="21" t="s">
        <v>139</v>
      </c>
      <c r="F84" s="21" t="s">
        <v>139</v>
      </c>
      <c r="G84" s="9" t="s">
        <v>139</v>
      </c>
      <c r="H84" s="9" t="s">
        <v>139</v>
      </c>
      <c r="I84" s="9" t="s">
        <v>139</v>
      </c>
      <c r="J84" s="9" t="s">
        <v>139</v>
      </c>
      <c r="K84" s="9" t="s">
        <v>139</v>
      </c>
      <c r="L84" s="9" t="s">
        <v>139</v>
      </c>
      <c r="M84" s="9" t="s">
        <v>139</v>
      </c>
      <c r="N84" s="9" t="s">
        <v>139</v>
      </c>
      <c r="O84" s="9" t="s">
        <v>139</v>
      </c>
      <c r="P84" s="9" t="s">
        <v>139</v>
      </c>
      <c r="Q84" s="9" t="s">
        <v>139</v>
      </c>
      <c r="R84" s="9" t="s">
        <v>139</v>
      </c>
      <c r="S84" s="9" t="s">
        <v>139</v>
      </c>
      <c r="T84" t="s">
        <v>139</v>
      </c>
      <c r="U84" t="s">
        <v>139</v>
      </c>
      <c r="V84" t="s">
        <v>139</v>
      </c>
      <c r="W84" t="s">
        <v>139</v>
      </c>
      <c r="X84" t="s">
        <v>139</v>
      </c>
      <c r="Y84" t="s">
        <v>139</v>
      </c>
      <c r="Z84" t="s">
        <v>139</v>
      </c>
      <c r="AA84" t="s">
        <v>139</v>
      </c>
      <c r="AB84" t="s">
        <v>139</v>
      </c>
      <c r="AC84" t="s">
        <v>139</v>
      </c>
      <c r="AD84" t="s">
        <v>139</v>
      </c>
      <c r="AE84" t="s">
        <v>139</v>
      </c>
      <c r="AF84" t="s">
        <v>139</v>
      </c>
      <c r="AG84" t="s">
        <v>139</v>
      </c>
      <c r="AH84" t="s">
        <v>139</v>
      </c>
      <c r="AI84" t="s">
        <v>139</v>
      </c>
      <c r="AJ84">
        <v>3</v>
      </c>
      <c r="AK84">
        <v>3</v>
      </c>
      <c r="AL84">
        <v>3</v>
      </c>
    </row>
    <row r="85" spans="1:38" x14ac:dyDescent="0.2">
      <c r="A85" s="4" t="s">
        <v>134</v>
      </c>
      <c r="B85" s="21" t="s">
        <v>139</v>
      </c>
      <c r="C85" s="21" t="s">
        <v>139</v>
      </c>
      <c r="D85" s="21" t="s">
        <v>139</v>
      </c>
      <c r="E85" s="21" t="s">
        <v>139</v>
      </c>
      <c r="F85" s="21" t="s">
        <v>139</v>
      </c>
      <c r="G85" s="9" t="s">
        <v>139</v>
      </c>
      <c r="H85" s="9" t="s">
        <v>139</v>
      </c>
      <c r="I85" s="9" t="s">
        <v>139</v>
      </c>
      <c r="J85" s="9" t="s">
        <v>139</v>
      </c>
      <c r="K85" s="9" t="s">
        <v>139</v>
      </c>
      <c r="L85" s="9" t="s">
        <v>139</v>
      </c>
      <c r="M85" s="9" t="s">
        <v>139</v>
      </c>
      <c r="N85" s="9" t="s">
        <v>139</v>
      </c>
      <c r="O85" s="9" t="s">
        <v>139</v>
      </c>
      <c r="P85" s="9" t="s">
        <v>139</v>
      </c>
      <c r="Q85" s="9" t="s">
        <v>139</v>
      </c>
      <c r="R85" s="9" t="s">
        <v>139</v>
      </c>
      <c r="S85" s="9" t="s">
        <v>139</v>
      </c>
      <c r="T85" t="s">
        <v>139</v>
      </c>
      <c r="U85" t="s">
        <v>139</v>
      </c>
      <c r="V85" t="s">
        <v>139</v>
      </c>
      <c r="W85" t="s">
        <v>139</v>
      </c>
      <c r="X85" t="s">
        <v>139</v>
      </c>
      <c r="Y85" t="s">
        <v>139</v>
      </c>
      <c r="Z85" t="s">
        <v>139</v>
      </c>
      <c r="AA85" t="s">
        <v>139</v>
      </c>
      <c r="AB85" t="s">
        <v>139</v>
      </c>
      <c r="AC85" t="s">
        <v>139</v>
      </c>
      <c r="AD85" t="s">
        <v>139</v>
      </c>
      <c r="AE85" t="s">
        <v>139</v>
      </c>
      <c r="AF85" t="s">
        <v>139</v>
      </c>
      <c r="AG85">
        <v>2</v>
      </c>
      <c r="AH85">
        <v>2</v>
      </c>
      <c r="AI85">
        <v>2</v>
      </c>
      <c r="AJ85">
        <v>2</v>
      </c>
      <c r="AK85">
        <v>2</v>
      </c>
      <c r="AL85">
        <v>2</v>
      </c>
    </row>
    <row r="86" spans="1:38" x14ac:dyDescent="0.2">
      <c r="A86" s="4" t="s">
        <v>135</v>
      </c>
      <c r="B86" s="21" t="s">
        <v>139</v>
      </c>
      <c r="C86" s="21" t="s">
        <v>139</v>
      </c>
      <c r="D86" s="21" t="s">
        <v>139</v>
      </c>
      <c r="E86" s="21" t="s">
        <v>139</v>
      </c>
      <c r="F86" s="21" t="s">
        <v>139</v>
      </c>
      <c r="G86" s="9" t="s">
        <v>139</v>
      </c>
      <c r="H86" s="9" t="s">
        <v>139</v>
      </c>
      <c r="I86" s="9" t="s">
        <v>139</v>
      </c>
      <c r="J86" s="9" t="s">
        <v>139</v>
      </c>
      <c r="K86" s="9" t="s">
        <v>139</v>
      </c>
      <c r="L86" s="9" t="s">
        <v>139</v>
      </c>
      <c r="M86" s="9" t="s">
        <v>139</v>
      </c>
      <c r="N86" s="9" t="s">
        <v>139</v>
      </c>
      <c r="O86" s="9" t="s">
        <v>139</v>
      </c>
      <c r="P86" s="9" t="s">
        <v>139</v>
      </c>
      <c r="Q86" s="9" t="s">
        <v>139</v>
      </c>
      <c r="R86" s="9" t="s">
        <v>139</v>
      </c>
      <c r="S86" s="9" t="s">
        <v>139</v>
      </c>
      <c r="T86" t="s">
        <v>139</v>
      </c>
      <c r="U86" t="s">
        <v>139</v>
      </c>
      <c r="V86" t="s">
        <v>139</v>
      </c>
      <c r="W86" t="s">
        <v>139</v>
      </c>
      <c r="X86" t="s">
        <v>139</v>
      </c>
      <c r="Y86" t="s">
        <v>139</v>
      </c>
      <c r="Z86" t="s">
        <v>139</v>
      </c>
      <c r="AA86" t="s">
        <v>139</v>
      </c>
      <c r="AB86" t="s">
        <v>139</v>
      </c>
      <c r="AC86" t="s">
        <v>139</v>
      </c>
      <c r="AD86" t="s">
        <v>139</v>
      </c>
      <c r="AE86" t="s">
        <v>139</v>
      </c>
      <c r="AF86" t="s">
        <v>139</v>
      </c>
      <c r="AG86" t="s">
        <v>139</v>
      </c>
      <c r="AH86" t="s">
        <v>139</v>
      </c>
      <c r="AI86" t="s">
        <v>139</v>
      </c>
      <c r="AJ86">
        <v>1</v>
      </c>
      <c r="AK86">
        <v>1</v>
      </c>
      <c r="AL86">
        <v>1</v>
      </c>
    </row>
    <row r="87" spans="1:38" x14ac:dyDescent="0.2">
      <c r="A87" s="26" t="s">
        <v>136</v>
      </c>
      <c r="B87" s="26">
        <v>20</v>
      </c>
      <c r="C87" s="4">
        <v>19</v>
      </c>
      <c r="D87" s="4">
        <v>19</v>
      </c>
      <c r="E87" s="27">
        <v>19</v>
      </c>
      <c r="F87" s="27">
        <v>18</v>
      </c>
      <c r="G87" s="5">
        <v>18</v>
      </c>
      <c r="H87" s="5">
        <v>20</v>
      </c>
      <c r="I87" s="5">
        <v>20</v>
      </c>
      <c r="J87" s="5">
        <v>19</v>
      </c>
      <c r="K87" s="5">
        <v>19</v>
      </c>
      <c r="L87" s="5">
        <v>19</v>
      </c>
      <c r="M87" s="5">
        <v>19</v>
      </c>
      <c r="N87" s="5">
        <v>19</v>
      </c>
      <c r="O87" s="5">
        <v>19</v>
      </c>
      <c r="P87" s="6">
        <v>19</v>
      </c>
      <c r="Q87" s="4">
        <v>19</v>
      </c>
      <c r="R87" s="4">
        <v>19</v>
      </c>
      <c r="S87" s="4">
        <v>19</v>
      </c>
      <c r="T87">
        <v>19</v>
      </c>
      <c r="U87">
        <v>19</v>
      </c>
      <c r="V87">
        <v>19</v>
      </c>
      <c r="W87">
        <v>19</v>
      </c>
      <c r="X87">
        <v>19</v>
      </c>
      <c r="Y87">
        <v>19</v>
      </c>
      <c r="Z87">
        <v>19</v>
      </c>
      <c r="AA87">
        <v>21</v>
      </c>
      <c r="AB87">
        <v>21</v>
      </c>
      <c r="AC87">
        <v>22</v>
      </c>
      <c r="AD87">
        <v>22</v>
      </c>
      <c r="AE87">
        <v>22</v>
      </c>
      <c r="AF87">
        <v>24</v>
      </c>
      <c r="AG87">
        <v>25</v>
      </c>
      <c r="AH87">
        <v>26</v>
      </c>
      <c r="AI87">
        <v>26</v>
      </c>
      <c r="AJ87">
        <v>32</v>
      </c>
      <c r="AK87">
        <v>32</v>
      </c>
      <c r="AL87">
        <v>33</v>
      </c>
    </row>
    <row r="88" spans="1:38" x14ac:dyDescent="0.2">
      <c r="A88" s="1" t="s">
        <v>137</v>
      </c>
      <c r="B88" s="4">
        <v>83</v>
      </c>
      <c r="C88" s="8">
        <v>83</v>
      </c>
      <c r="D88" s="8">
        <v>83</v>
      </c>
      <c r="E88" s="20">
        <v>83</v>
      </c>
      <c r="F88" s="20">
        <v>83</v>
      </c>
      <c r="G88" s="9">
        <v>83</v>
      </c>
      <c r="H88" s="4">
        <v>85</v>
      </c>
      <c r="I88" s="4">
        <v>85</v>
      </c>
      <c r="J88" s="4">
        <v>87</v>
      </c>
      <c r="K88" s="4">
        <v>89</v>
      </c>
      <c r="L88" s="4">
        <v>89</v>
      </c>
      <c r="M88" s="4">
        <v>89</v>
      </c>
      <c r="N88" s="4">
        <v>89</v>
      </c>
      <c r="O88" s="4">
        <v>89</v>
      </c>
      <c r="P88" s="4">
        <v>89</v>
      </c>
      <c r="Q88" s="4">
        <v>89</v>
      </c>
      <c r="R88" s="4">
        <v>89</v>
      </c>
      <c r="S88" s="4">
        <v>89</v>
      </c>
      <c r="T88">
        <v>88</v>
      </c>
      <c r="U88">
        <v>88</v>
      </c>
      <c r="V88">
        <v>88</v>
      </c>
      <c r="W88">
        <v>88</v>
      </c>
      <c r="X88">
        <v>88</v>
      </c>
      <c r="Y88">
        <v>88</v>
      </c>
      <c r="Z88">
        <v>88</v>
      </c>
      <c r="AA88">
        <v>87</v>
      </c>
      <c r="AB88">
        <v>88</v>
      </c>
      <c r="AC88">
        <v>88</v>
      </c>
      <c r="AD88">
        <v>88</v>
      </c>
      <c r="AE88">
        <v>88</v>
      </c>
      <c r="AF88">
        <v>88</v>
      </c>
      <c r="AG88">
        <v>88</v>
      </c>
      <c r="AH88">
        <v>88</v>
      </c>
      <c r="AI88">
        <v>87</v>
      </c>
      <c r="AJ88">
        <v>87</v>
      </c>
      <c r="AK88">
        <v>87</v>
      </c>
      <c r="AL88">
        <v>87</v>
      </c>
    </row>
    <row r="90" spans="1:38" ht="22" x14ac:dyDescent="0.3">
      <c r="A90" s="54" t="s">
        <v>142</v>
      </c>
    </row>
    <row r="91" spans="1:38" x14ac:dyDescent="0.2">
      <c r="A91" s="12" t="s">
        <v>101</v>
      </c>
      <c r="B91" s="13" t="s">
        <v>102</v>
      </c>
      <c r="C91" s="13" t="s">
        <v>103</v>
      </c>
      <c r="D91" s="13" t="s">
        <v>104</v>
      </c>
      <c r="E91" s="13" t="s">
        <v>105</v>
      </c>
      <c r="F91" s="13" t="s">
        <v>106</v>
      </c>
      <c r="G91" s="13" t="s">
        <v>107</v>
      </c>
      <c r="H91" s="13" t="s">
        <v>108</v>
      </c>
      <c r="I91" s="13" t="s">
        <v>109</v>
      </c>
      <c r="J91" s="13" t="s">
        <v>110</v>
      </c>
      <c r="K91" s="13" t="s">
        <v>111</v>
      </c>
      <c r="L91" s="13" t="s">
        <v>112</v>
      </c>
      <c r="M91" s="13" t="s">
        <v>113</v>
      </c>
      <c r="N91" s="13" t="s">
        <v>114</v>
      </c>
      <c r="O91" s="13" t="s">
        <v>115</v>
      </c>
      <c r="P91" s="13" t="s">
        <v>116</v>
      </c>
      <c r="Q91" s="13" t="s">
        <v>117</v>
      </c>
      <c r="R91" s="13" t="s">
        <v>118</v>
      </c>
      <c r="S91" s="13" t="s">
        <v>119</v>
      </c>
      <c r="T91" s="13" t="s">
        <v>120</v>
      </c>
      <c r="U91" s="13" t="s">
        <v>121</v>
      </c>
      <c r="V91" s="13" t="s">
        <v>122</v>
      </c>
      <c r="W91" s="13" t="s">
        <v>123</v>
      </c>
      <c r="X91" s="13" t="s">
        <v>124</v>
      </c>
      <c r="Y91" s="13" t="s">
        <v>125</v>
      </c>
      <c r="Z91" s="13" t="s">
        <v>205</v>
      </c>
      <c r="AA91" s="13" t="s">
        <v>206</v>
      </c>
      <c r="AB91" s="13" t="s">
        <v>207</v>
      </c>
      <c r="AC91" s="13" t="s">
        <v>208</v>
      </c>
      <c r="AD91" s="80" t="s">
        <v>210</v>
      </c>
      <c r="AE91" s="80" t="s">
        <v>211</v>
      </c>
      <c r="AF91" s="80" t="s">
        <v>212</v>
      </c>
      <c r="AG91" s="88" t="s">
        <v>213</v>
      </c>
      <c r="AH91" s="88" t="s">
        <v>214</v>
      </c>
      <c r="AI91" s="88" t="s">
        <v>215</v>
      </c>
      <c r="AJ91" s="88" t="s">
        <v>216</v>
      </c>
      <c r="AK91" s="88" t="s">
        <v>217</v>
      </c>
      <c r="AL91" s="88" t="s">
        <v>218</v>
      </c>
    </row>
    <row r="92" spans="1:38" x14ac:dyDescent="0.2">
      <c r="A92" s="1" t="s">
        <v>10</v>
      </c>
      <c r="B92" s="2">
        <v>0.23899999999999999</v>
      </c>
      <c r="C92" s="2">
        <v>0.23899999999999999</v>
      </c>
      <c r="D92" s="2">
        <v>0.24349999999999999</v>
      </c>
      <c r="E92" s="25">
        <v>0.2989</v>
      </c>
      <c r="F92" s="25">
        <v>0.31</v>
      </c>
      <c r="G92" s="3">
        <v>0.40489999999999998</v>
      </c>
      <c r="H92" s="2">
        <v>0.42509999999999998</v>
      </c>
      <c r="I92" s="2">
        <v>0.42509999999999998</v>
      </c>
      <c r="J92" s="2">
        <v>0.46089999999999998</v>
      </c>
      <c r="K92" s="2">
        <v>0.53220000000000001</v>
      </c>
      <c r="L92" s="2">
        <v>0.53649999999999998</v>
      </c>
      <c r="M92" s="2">
        <v>0.53649999999999998</v>
      </c>
      <c r="N92" s="2">
        <v>0.55020000000000002</v>
      </c>
      <c r="O92" s="2">
        <v>0.56330000000000002</v>
      </c>
      <c r="P92" s="2">
        <v>0.57389999999999997</v>
      </c>
      <c r="Q92" s="2">
        <v>0.57830000000000004</v>
      </c>
      <c r="R92" s="2">
        <v>0.61739999999999995</v>
      </c>
      <c r="S92" s="2">
        <v>0.63600000000000001</v>
      </c>
      <c r="T92" s="78">
        <v>0.66069999999999995</v>
      </c>
      <c r="U92" s="78">
        <v>0.67569999999999997</v>
      </c>
      <c r="V92" s="78">
        <v>0.68330000000000002</v>
      </c>
      <c r="W92" s="78">
        <v>0.73970000000000002</v>
      </c>
      <c r="X92" s="78">
        <v>0.78600000000000003</v>
      </c>
      <c r="Y92" s="78">
        <v>0.7944</v>
      </c>
      <c r="Z92" s="78">
        <v>0.80840000000000001</v>
      </c>
      <c r="AA92" s="78">
        <v>0.82709999999999995</v>
      </c>
      <c r="AB92" s="78">
        <v>0.84689999999999999</v>
      </c>
      <c r="AC92" s="78">
        <v>0.88349999999999995</v>
      </c>
      <c r="AD92" s="78">
        <v>0.88349999999999995</v>
      </c>
      <c r="AE92" s="85">
        <v>0.90200000000000002</v>
      </c>
      <c r="AF92" s="85">
        <v>0.90639999999999998</v>
      </c>
      <c r="AG92" s="85">
        <v>0.90639999999999998</v>
      </c>
      <c r="AH92" s="85">
        <v>0.9104000000000001</v>
      </c>
      <c r="AI92" s="85">
        <v>0.92459999999999998</v>
      </c>
      <c r="AJ92" s="85">
        <v>0.92930000000000001</v>
      </c>
      <c r="AK92" s="94">
        <v>0.93189999999999995</v>
      </c>
      <c r="AL92" s="85">
        <v>0.93230000000000002</v>
      </c>
    </row>
    <row r="94" spans="1:38" x14ac:dyDescent="0.2">
      <c r="A94" s="12" t="s">
        <v>126</v>
      </c>
      <c r="B94" s="13" t="s">
        <v>102</v>
      </c>
      <c r="C94" s="13" t="s">
        <v>103</v>
      </c>
      <c r="D94" s="13" t="s">
        <v>104</v>
      </c>
      <c r="E94" s="13" t="s">
        <v>105</v>
      </c>
      <c r="F94" s="13" t="s">
        <v>106</v>
      </c>
      <c r="G94" s="13" t="s">
        <v>107</v>
      </c>
      <c r="H94" s="13" t="s">
        <v>108</v>
      </c>
      <c r="I94" s="13" t="s">
        <v>109</v>
      </c>
      <c r="J94" s="13" t="s">
        <v>110</v>
      </c>
      <c r="K94" s="13" t="s">
        <v>111</v>
      </c>
      <c r="L94" s="13" t="s">
        <v>112</v>
      </c>
      <c r="M94" s="13" t="s">
        <v>113</v>
      </c>
      <c r="N94" s="13" t="s">
        <v>114</v>
      </c>
      <c r="O94" s="13" t="s">
        <v>115</v>
      </c>
      <c r="P94" s="13" t="s">
        <v>116</v>
      </c>
      <c r="Q94" s="13" t="s">
        <v>117</v>
      </c>
      <c r="R94" s="13" t="s">
        <v>118</v>
      </c>
      <c r="S94" s="13" t="s">
        <v>119</v>
      </c>
      <c r="T94" s="13" t="s">
        <v>120</v>
      </c>
      <c r="U94" s="13" t="s">
        <v>121</v>
      </c>
      <c r="V94" s="13" t="s">
        <v>122</v>
      </c>
      <c r="W94" s="13" t="s">
        <v>123</v>
      </c>
      <c r="X94" s="13" t="s">
        <v>124</v>
      </c>
      <c r="Y94" s="13" t="s">
        <v>125</v>
      </c>
      <c r="Z94" s="13" t="s">
        <v>205</v>
      </c>
      <c r="AA94" s="13" t="s">
        <v>206</v>
      </c>
      <c r="AB94" s="13" t="s">
        <v>207</v>
      </c>
      <c r="AC94" s="13" t="s">
        <v>208</v>
      </c>
      <c r="AD94" s="80" t="s">
        <v>210</v>
      </c>
      <c r="AE94" s="80" t="s">
        <v>211</v>
      </c>
      <c r="AF94" s="80" t="s">
        <v>212</v>
      </c>
      <c r="AG94" s="88" t="s">
        <v>213</v>
      </c>
      <c r="AH94" s="88" t="s">
        <v>214</v>
      </c>
      <c r="AI94" s="88" t="s">
        <v>215</v>
      </c>
      <c r="AJ94" s="88" t="s">
        <v>216</v>
      </c>
      <c r="AK94" s="88" t="s">
        <v>217</v>
      </c>
      <c r="AL94" s="88" t="s">
        <v>218</v>
      </c>
    </row>
    <row r="95" spans="1:38" x14ac:dyDescent="0.2">
      <c r="A95" s="1" t="s">
        <v>127</v>
      </c>
      <c r="B95" s="4">
        <v>65</v>
      </c>
      <c r="C95" s="4">
        <v>65</v>
      </c>
      <c r="D95" s="4">
        <v>66</v>
      </c>
      <c r="E95" s="4">
        <v>81</v>
      </c>
      <c r="F95" s="20">
        <v>84</v>
      </c>
      <c r="G95" s="4">
        <v>100</v>
      </c>
      <c r="H95" s="4">
        <v>105</v>
      </c>
      <c r="I95" s="4">
        <v>105</v>
      </c>
      <c r="J95" s="4">
        <v>112</v>
      </c>
      <c r="K95" s="4">
        <v>124</v>
      </c>
      <c r="L95" s="4">
        <v>125</v>
      </c>
      <c r="M95" s="4">
        <v>125</v>
      </c>
      <c r="N95" s="4">
        <v>126</v>
      </c>
      <c r="O95" s="4">
        <v>129</v>
      </c>
      <c r="P95" s="4">
        <v>132</v>
      </c>
      <c r="Q95" s="4">
        <v>133</v>
      </c>
      <c r="R95" s="4">
        <v>142</v>
      </c>
      <c r="S95" s="4">
        <v>145</v>
      </c>
      <c r="T95">
        <v>148</v>
      </c>
      <c r="U95">
        <v>150</v>
      </c>
      <c r="V95">
        <v>151</v>
      </c>
      <c r="W95">
        <v>162</v>
      </c>
      <c r="X95">
        <v>169</v>
      </c>
      <c r="Y95">
        <v>170</v>
      </c>
      <c r="Z95">
        <v>173</v>
      </c>
      <c r="AA95">
        <v>177</v>
      </c>
      <c r="AB95">
        <v>177</v>
      </c>
      <c r="AC95">
        <v>182</v>
      </c>
      <c r="AD95">
        <v>182</v>
      </c>
      <c r="AE95">
        <v>184</v>
      </c>
      <c r="AF95">
        <v>184</v>
      </c>
      <c r="AG95">
        <v>184</v>
      </c>
      <c r="AH95">
        <v>183</v>
      </c>
      <c r="AI95">
        <v>184</v>
      </c>
      <c r="AJ95">
        <v>184</v>
      </c>
      <c r="AK95">
        <v>178</v>
      </c>
      <c r="AL95">
        <v>179</v>
      </c>
    </row>
    <row r="96" spans="1:38" x14ac:dyDescent="0.2">
      <c r="A96" s="1" t="s">
        <v>128</v>
      </c>
      <c r="B96" s="4">
        <v>91</v>
      </c>
      <c r="C96" s="4">
        <v>91</v>
      </c>
      <c r="D96" s="4">
        <v>91</v>
      </c>
      <c r="E96" s="4">
        <v>81</v>
      </c>
      <c r="F96" s="20">
        <v>81</v>
      </c>
      <c r="G96" s="4">
        <v>76</v>
      </c>
      <c r="H96" s="4">
        <v>76</v>
      </c>
      <c r="I96" s="4">
        <v>76</v>
      </c>
      <c r="J96" s="4">
        <v>75</v>
      </c>
      <c r="K96" s="4">
        <v>108</v>
      </c>
      <c r="L96" s="4">
        <v>106</v>
      </c>
      <c r="M96" s="4">
        <v>106</v>
      </c>
      <c r="N96" s="4">
        <v>101</v>
      </c>
      <c r="O96" s="4">
        <v>98</v>
      </c>
      <c r="P96" s="4">
        <v>96</v>
      </c>
      <c r="Q96" s="4">
        <v>95</v>
      </c>
      <c r="R96" s="4">
        <v>86</v>
      </c>
      <c r="S96" s="4">
        <v>82</v>
      </c>
      <c r="T96">
        <v>76</v>
      </c>
      <c r="U96">
        <v>72</v>
      </c>
      <c r="V96">
        <v>70</v>
      </c>
      <c r="W96">
        <v>57</v>
      </c>
      <c r="X96">
        <v>46</v>
      </c>
      <c r="Y96">
        <v>44</v>
      </c>
      <c r="Z96">
        <v>41</v>
      </c>
      <c r="AA96">
        <v>37</v>
      </c>
      <c r="AB96">
        <v>32</v>
      </c>
      <c r="AC96">
        <v>24</v>
      </c>
      <c r="AD96">
        <v>24</v>
      </c>
      <c r="AE96">
        <v>20</v>
      </c>
      <c r="AF96">
        <v>19</v>
      </c>
      <c r="AG96">
        <v>19</v>
      </c>
      <c r="AH96">
        <v>18</v>
      </c>
      <c r="AI96">
        <v>15</v>
      </c>
      <c r="AJ96">
        <v>14</v>
      </c>
      <c r="AK96">
        <v>13</v>
      </c>
      <c r="AL96">
        <v>13</v>
      </c>
    </row>
    <row r="97" spans="1:38" x14ac:dyDescent="0.2">
      <c r="A97" s="4" t="s">
        <v>129</v>
      </c>
      <c r="B97" s="21" t="s">
        <v>139</v>
      </c>
      <c r="C97" s="21" t="s">
        <v>139</v>
      </c>
      <c r="D97" s="21" t="s">
        <v>139</v>
      </c>
      <c r="E97" s="21" t="s">
        <v>139</v>
      </c>
      <c r="F97" s="21" t="s">
        <v>139</v>
      </c>
      <c r="G97" s="9">
        <v>1</v>
      </c>
      <c r="H97" s="9">
        <v>1</v>
      </c>
      <c r="I97" s="9">
        <v>1</v>
      </c>
      <c r="J97" s="9">
        <v>1</v>
      </c>
      <c r="K97" s="9" t="s">
        <v>139</v>
      </c>
      <c r="L97" s="9" t="s">
        <v>139</v>
      </c>
      <c r="M97" s="9" t="s">
        <v>139</v>
      </c>
      <c r="N97" s="9" t="s">
        <v>139</v>
      </c>
      <c r="O97" s="9" t="s">
        <v>139</v>
      </c>
      <c r="P97" s="9" t="s">
        <v>139</v>
      </c>
      <c r="Q97" s="9" t="s">
        <v>139</v>
      </c>
      <c r="R97" s="9" t="s">
        <v>139</v>
      </c>
      <c r="S97" s="9" t="s">
        <v>139</v>
      </c>
      <c r="T97" t="s">
        <v>139</v>
      </c>
      <c r="U97" t="s">
        <v>139</v>
      </c>
      <c r="V97" t="s">
        <v>139</v>
      </c>
      <c r="W97" t="s">
        <v>139</v>
      </c>
      <c r="X97" t="s">
        <v>139</v>
      </c>
      <c r="Y97" t="s">
        <v>139</v>
      </c>
      <c r="Z97" t="s">
        <v>139</v>
      </c>
      <c r="AA97" t="s">
        <v>139</v>
      </c>
      <c r="AB97" t="s">
        <v>139</v>
      </c>
      <c r="AC97" t="s">
        <v>139</v>
      </c>
      <c r="AD97" t="s">
        <v>139</v>
      </c>
      <c r="AE97" t="s">
        <v>139</v>
      </c>
      <c r="AF97" t="s">
        <v>139</v>
      </c>
      <c r="AG97" t="s">
        <v>139</v>
      </c>
      <c r="AH97" t="s">
        <v>139</v>
      </c>
      <c r="AI97" t="s">
        <v>139</v>
      </c>
      <c r="AJ97" t="s">
        <v>139</v>
      </c>
      <c r="AK97" t="s">
        <v>139</v>
      </c>
      <c r="AL97" t="s">
        <v>139</v>
      </c>
    </row>
    <row r="98" spans="1:38" x14ac:dyDescent="0.2">
      <c r="A98" s="1" t="s">
        <v>130</v>
      </c>
      <c r="B98" s="4">
        <v>116</v>
      </c>
      <c r="C98" s="4">
        <v>116</v>
      </c>
      <c r="D98" s="4">
        <v>114</v>
      </c>
      <c r="E98" s="4">
        <v>109</v>
      </c>
      <c r="F98" s="20">
        <v>106</v>
      </c>
      <c r="G98" s="4">
        <v>71</v>
      </c>
      <c r="H98" s="4">
        <v>66</v>
      </c>
      <c r="I98" s="4">
        <v>66</v>
      </c>
      <c r="J98" s="4">
        <v>56</v>
      </c>
      <c r="K98" s="4">
        <v>1</v>
      </c>
      <c r="L98" s="4">
        <v>2</v>
      </c>
      <c r="M98" s="4">
        <v>2</v>
      </c>
      <c r="N98" s="4">
        <v>2</v>
      </c>
      <c r="O98" s="4">
        <v>2</v>
      </c>
      <c r="P98" s="4">
        <v>2</v>
      </c>
      <c r="Q98" s="4">
        <v>2</v>
      </c>
      <c r="R98" s="4">
        <v>2</v>
      </c>
      <c r="S98" s="4">
        <v>1</v>
      </c>
      <c r="T98" t="s">
        <v>139</v>
      </c>
      <c r="U98" t="s">
        <v>139</v>
      </c>
      <c r="V98" t="s">
        <v>139</v>
      </c>
      <c r="W98" t="s">
        <v>139</v>
      </c>
      <c r="X98" t="s">
        <v>139</v>
      </c>
      <c r="Y98" t="s">
        <v>139</v>
      </c>
      <c r="Z98" t="s">
        <v>139</v>
      </c>
      <c r="AA98" t="s">
        <v>139</v>
      </c>
      <c r="AB98" t="s">
        <v>139</v>
      </c>
      <c r="AC98" t="s">
        <v>139</v>
      </c>
      <c r="AD98" t="s">
        <v>139</v>
      </c>
      <c r="AE98" t="s">
        <v>139</v>
      </c>
      <c r="AF98" t="s">
        <v>139</v>
      </c>
      <c r="AG98" t="s">
        <v>139</v>
      </c>
      <c r="AH98" t="s">
        <v>139</v>
      </c>
      <c r="AI98" t="s">
        <v>139</v>
      </c>
      <c r="AJ98" t="s">
        <v>139</v>
      </c>
      <c r="AK98" t="s">
        <v>139</v>
      </c>
      <c r="AL98" t="s">
        <v>139</v>
      </c>
    </row>
    <row r="99" spans="1:38" x14ac:dyDescent="0.2">
      <c r="A99" s="4" t="s">
        <v>131</v>
      </c>
      <c r="B99" s="4">
        <v>11</v>
      </c>
      <c r="C99" s="4">
        <v>11</v>
      </c>
      <c r="D99" s="4">
        <v>11</v>
      </c>
      <c r="E99" s="4">
        <v>10</v>
      </c>
      <c r="F99" s="20">
        <v>10</v>
      </c>
      <c r="G99" s="4">
        <v>9</v>
      </c>
      <c r="H99" s="4">
        <v>9</v>
      </c>
      <c r="I99" s="4">
        <v>9</v>
      </c>
      <c r="J99" s="4">
        <v>11</v>
      </c>
      <c r="K99" s="4">
        <v>11</v>
      </c>
      <c r="L99" s="4">
        <v>11</v>
      </c>
      <c r="M99" s="4">
        <v>11</v>
      </c>
      <c r="N99" s="4">
        <v>15</v>
      </c>
      <c r="O99" s="4">
        <v>15</v>
      </c>
      <c r="P99" s="4">
        <v>14</v>
      </c>
      <c r="Q99" s="4">
        <v>14</v>
      </c>
      <c r="R99" s="4">
        <v>14</v>
      </c>
      <c r="S99" s="4">
        <v>14</v>
      </c>
      <c r="T99">
        <v>14</v>
      </c>
      <c r="U99">
        <v>14</v>
      </c>
      <c r="V99">
        <v>14</v>
      </c>
      <c r="W99">
        <v>15</v>
      </c>
      <c r="X99">
        <v>16</v>
      </c>
      <c r="Y99">
        <v>16</v>
      </c>
      <c r="Z99">
        <v>16</v>
      </c>
      <c r="AA99">
        <v>16</v>
      </c>
      <c r="AB99">
        <v>16</v>
      </c>
      <c r="AC99">
        <v>16</v>
      </c>
      <c r="AD99">
        <v>16</v>
      </c>
      <c r="AE99">
        <v>16</v>
      </c>
      <c r="AF99">
        <v>16</v>
      </c>
      <c r="AG99">
        <v>16</v>
      </c>
      <c r="AH99">
        <v>16</v>
      </c>
      <c r="AI99">
        <v>16</v>
      </c>
      <c r="AJ99">
        <v>16</v>
      </c>
      <c r="AK99">
        <v>14</v>
      </c>
      <c r="AL99">
        <v>14</v>
      </c>
    </row>
    <row r="100" spans="1:38" x14ac:dyDescent="0.2">
      <c r="A100" s="4" t="s">
        <v>132</v>
      </c>
      <c r="B100" s="4" t="s">
        <v>139</v>
      </c>
      <c r="C100" s="4" t="s">
        <v>139</v>
      </c>
      <c r="D100" s="4" t="s">
        <v>139</v>
      </c>
      <c r="E100" s="4" t="s">
        <v>139</v>
      </c>
      <c r="F100" s="20" t="s">
        <v>139</v>
      </c>
      <c r="G100" s="4" t="s">
        <v>139</v>
      </c>
      <c r="H100" s="4" t="s">
        <v>139</v>
      </c>
      <c r="I100" s="4" t="s">
        <v>139</v>
      </c>
      <c r="J100" s="4" t="s">
        <v>139</v>
      </c>
      <c r="K100" s="4" t="s">
        <v>139</v>
      </c>
      <c r="L100" s="4" t="s">
        <v>139</v>
      </c>
      <c r="M100" s="4" t="s">
        <v>139</v>
      </c>
      <c r="N100" s="4" t="s">
        <v>139</v>
      </c>
      <c r="O100" s="4" t="s">
        <v>139</v>
      </c>
      <c r="P100" s="4" t="s">
        <v>139</v>
      </c>
      <c r="Q100" s="4" t="s">
        <v>139</v>
      </c>
      <c r="R100" s="4" t="s">
        <v>139</v>
      </c>
      <c r="S100" s="4" t="s">
        <v>139</v>
      </c>
      <c r="T100" t="s">
        <v>139</v>
      </c>
      <c r="U100" t="s">
        <v>139</v>
      </c>
      <c r="V100" t="s">
        <v>139</v>
      </c>
      <c r="W100" t="s">
        <v>139</v>
      </c>
      <c r="X100" t="s">
        <v>139</v>
      </c>
      <c r="Y100" t="s">
        <v>139</v>
      </c>
      <c r="Z100" t="s">
        <v>139</v>
      </c>
      <c r="AA100" t="s">
        <v>139</v>
      </c>
      <c r="AB100" t="s">
        <v>139</v>
      </c>
      <c r="AC100" t="s">
        <v>139</v>
      </c>
      <c r="AD100" t="s">
        <v>139</v>
      </c>
      <c r="AE100" t="s">
        <v>139</v>
      </c>
      <c r="AF100" t="s">
        <v>139</v>
      </c>
      <c r="AG100" t="s">
        <v>139</v>
      </c>
      <c r="AH100" t="s">
        <v>139</v>
      </c>
      <c r="AI100" t="s">
        <v>139</v>
      </c>
      <c r="AJ100" t="s">
        <v>139</v>
      </c>
      <c r="AK100" t="s">
        <v>139</v>
      </c>
      <c r="AL100" t="s">
        <v>139</v>
      </c>
    </row>
    <row r="101" spans="1:38" x14ac:dyDescent="0.2">
      <c r="A101" s="4" t="s">
        <v>133</v>
      </c>
      <c r="B101" s="4">
        <v>8</v>
      </c>
      <c r="C101" s="4">
        <v>8</v>
      </c>
      <c r="D101" s="4">
        <v>8</v>
      </c>
      <c r="E101" s="4">
        <v>8</v>
      </c>
      <c r="F101" s="20">
        <v>8</v>
      </c>
      <c r="G101" s="4">
        <v>8</v>
      </c>
      <c r="H101" s="4">
        <v>8</v>
      </c>
      <c r="I101" s="4">
        <v>8</v>
      </c>
      <c r="J101" s="4">
        <v>8</v>
      </c>
      <c r="K101" s="4">
        <v>8</v>
      </c>
      <c r="L101" s="4">
        <v>7</v>
      </c>
      <c r="M101" s="4">
        <v>7</v>
      </c>
      <c r="N101" s="4">
        <v>7</v>
      </c>
      <c r="O101" s="4">
        <v>7</v>
      </c>
      <c r="P101" s="4">
        <v>7</v>
      </c>
      <c r="Q101" s="4">
        <v>7</v>
      </c>
      <c r="R101" s="4">
        <v>7</v>
      </c>
      <c r="S101" s="4">
        <v>7</v>
      </c>
      <c r="T101">
        <v>9</v>
      </c>
      <c r="U101">
        <v>9</v>
      </c>
      <c r="V101">
        <v>9</v>
      </c>
      <c r="W101">
        <v>10</v>
      </c>
      <c r="X101">
        <v>12</v>
      </c>
      <c r="Y101">
        <v>12</v>
      </c>
      <c r="Z101">
        <v>12</v>
      </c>
      <c r="AA101">
        <v>12</v>
      </c>
      <c r="AB101">
        <v>12</v>
      </c>
      <c r="AC101">
        <v>13</v>
      </c>
      <c r="AD101">
        <v>13</v>
      </c>
      <c r="AE101">
        <v>14</v>
      </c>
      <c r="AF101">
        <v>14</v>
      </c>
      <c r="AG101">
        <v>14</v>
      </c>
      <c r="AH101">
        <v>14</v>
      </c>
      <c r="AI101">
        <v>14</v>
      </c>
      <c r="AJ101">
        <v>14</v>
      </c>
      <c r="AK101">
        <v>11</v>
      </c>
      <c r="AL101">
        <v>11</v>
      </c>
    </row>
    <row r="102" spans="1:38" x14ac:dyDescent="0.2">
      <c r="A102" s="4" t="s">
        <v>134</v>
      </c>
      <c r="B102" s="4">
        <v>1</v>
      </c>
      <c r="C102" s="4">
        <v>1</v>
      </c>
      <c r="D102" s="4">
        <v>1</v>
      </c>
      <c r="E102" s="4">
        <v>1</v>
      </c>
      <c r="F102" s="21">
        <v>1</v>
      </c>
      <c r="G102" s="9">
        <v>1</v>
      </c>
      <c r="H102" s="9">
        <v>1</v>
      </c>
      <c r="I102" s="9">
        <v>1</v>
      </c>
      <c r="J102" s="9">
        <v>1</v>
      </c>
      <c r="K102" s="9">
        <v>1</v>
      </c>
      <c r="L102" s="9">
        <v>1</v>
      </c>
      <c r="M102" s="9">
        <v>1</v>
      </c>
      <c r="N102" s="9">
        <v>1</v>
      </c>
      <c r="O102" s="9">
        <v>1</v>
      </c>
      <c r="P102" s="9">
        <v>1</v>
      </c>
      <c r="Q102" s="9">
        <v>1</v>
      </c>
      <c r="R102" s="9">
        <v>1</v>
      </c>
      <c r="S102" s="9" t="s">
        <v>139</v>
      </c>
      <c r="T102" t="s">
        <v>139</v>
      </c>
      <c r="U102">
        <v>1</v>
      </c>
      <c r="V102">
        <v>2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2</v>
      </c>
      <c r="AC102">
        <v>4</v>
      </c>
      <c r="AD102">
        <v>4</v>
      </c>
      <c r="AE102">
        <v>4</v>
      </c>
      <c r="AF102">
        <v>4</v>
      </c>
      <c r="AG102">
        <v>4</v>
      </c>
      <c r="AH102">
        <v>4</v>
      </c>
      <c r="AI102">
        <v>4</v>
      </c>
      <c r="AJ102">
        <v>4</v>
      </c>
      <c r="AK102">
        <v>4</v>
      </c>
      <c r="AL102">
        <v>4</v>
      </c>
    </row>
    <row r="103" spans="1:38" x14ac:dyDescent="0.2">
      <c r="A103" s="4" t="s">
        <v>135</v>
      </c>
      <c r="B103" s="21">
        <v>1</v>
      </c>
      <c r="C103" s="21">
        <v>1</v>
      </c>
      <c r="D103" s="21">
        <v>1</v>
      </c>
      <c r="E103" s="21">
        <v>1</v>
      </c>
      <c r="F103" s="21">
        <v>1</v>
      </c>
      <c r="G103" s="9">
        <v>2</v>
      </c>
      <c r="H103" s="9">
        <v>2</v>
      </c>
      <c r="I103" s="9">
        <v>2</v>
      </c>
      <c r="J103" s="9">
        <v>2</v>
      </c>
      <c r="K103" s="9">
        <v>2</v>
      </c>
      <c r="L103" s="9">
        <v>2</v>
      </c>
      <c r="M103" s="9">
        <v>2</v>
      </c>
      <c r="N103" s="9">
        <v>2</v>
      </c>
      <c r="O103" s="9">
        <v>2</v>
      </c>
      <c r="P103" s="9">
        <v>2</v>
      </c>
      <c r="Q103" s="9">
        <v>2</v>
      </c>
      <c r="R103" s="9">
        <v>1</v>
      </c>
      <c r="S103" s="9">
        <v>1</v>
      </c>
      <c r="T103">
        <v>1</v>
      </c>
      <c r="U103">
        <v>1</v>
      </c>
      <c r="V103">
        <v>1</v>
      </c>
      <c r="W103">
        <v>1</v>
      </c>
      <c r="X103">
        <v>2</v>
      </c>
      <c r="Y103">
        <v>2</v>
      </c>
      <c r="Z103">
        <v>2</v>
      </c>
      <c r="AA103">
        <v>2</v>
      </c>
      <c r="AB103">
        <v>2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 t="s">
        <v>139</v>
      </c>
      <c r="AL103" t="s">
        <v>139</v>
      </c>
    </row>
    <row r="104" spans="1:38" x14ac:dyDescent="0.2">
      <c r="A104" s="4" t="s">
        <v>136</v>
      </c>
      <c r="B104" s="21">
        <v>8</v>
      </c>
      <c r="C104" s="21">
        <v>8</v>
      </c>
      <c r="D104" s="21">
        <v>8</v>
      </c>
      <c r="E104" s="21">
        <v>8</v>
      </c>
      <c r="F104" s="21">
        <v>8</v>
      </c>
      <c r="G104" s="22">
        <v>8</v>
      </c>
      <c r="H104" s="22">
        <v>8</v>
      </c>
      <c r="I104" s="22">
        <v>8</v>
      </c>
      <c r="J104" s="22">
        <v>9</v>
      </c>
      <c r="K104" s="22">
        <v>12</v>
      </c>
      <c r="L104" s="22">
        <v>12</v>
      </c>
      <c r="M104" s="22">
        <v>12</v>
      </c>
      <c r="N104" s="22">
        <v>12</v>
      </c>
      <c r="O104" s="22">
        <v>12</v>
      </c>
      <c r="P104" s="23">
        <v>12</v>
      </c>
      <c r="Q104" s="9">
        <v>12</v>
      </c>
      <c r="R104" s="9">
        <v>12</v>
      </c>
      <c r="S104" s="9">
        <v>13</v>
      </c>
      <c r="T104">
        <v>14</v>
      </c>
      <c r="U104">
        <v>14</v>
      </c>
      <c r="V104">
        <v>14</v>
      </c>
      <c r="W104">
        <v>14</v>
      </c>
      <c r="X104">
        <v>14</v>
      </c>
      <c r="Y104">
        <v>14</v>
      </c>
      <c r="Z104">
        <v>14</v>
      </c>
      <c r="AA104">
        <v>14</v>
      </c>
      <c r="AB104">
        <v>13</v>
      </c>
      <c r="AC104">
        <v>14</v>
      </c>
      <c r="AD104">
        <v>14</v>
      </c>
      <c r="AE104">
        <v>15</v>
      </c>
      <c r="AF104">
        <v>15</v>
      </c>
      <c r="AG104">
        <v>15</v>
      </c>
      <c r="AH104">
        <v>15</v>
      </c>
      <c r="AI104">
        <v>15</v>
      </c>
      <c r="AJ104">
        <v>15</v>
      </c>
      <c r="AK104">
        <v>13</v>
      </c>
      <c r="AL104">
        <v>12</v>
      </c>
    </row>
    <row r="105" spans="1:38" x14ac:dyDescent="0.2">
      <c r="A105" s="7" t="s">
        <v>137</v>
      </c>
      <c r="B105" s="8">
        <v>301</v>
      </c>
      <c r="C105" s="8">
        <v>301</v>
      </c>
      <c r="D105" s="8">
        <v>300</v>
      </c>
      <c r="E105" s="8">
        <v>299</v>
      </c>
      <c r="F105" s="8">
        <v>299</v>
      </c>
      <c r="G105" s="9">
        <v>276</v>
      </c>
      <c r="H105" s="4">
        <v>276</v>
      </c>
      <c r="I105" s="4">
        <v>276</v>
      </c>
      <c r="J105" s="4">
        <v>275</v>
      </c>
      <c r="K105" s="4">
        <v>267</v>
      </c>
      <c r="L105" s="4">
        <v>266</v>
      </c>
      <c r="M105" s="4">
        <v>266</v>
      </c>
      <c r="N105" s="4">
        <v>266</v>
      </c>
      <c r="O105" s="4">
        <v>266</v>
      </c>
      <c r="P105" s="4">
        <v>266</v>
      </c>
      <c r="Q105" s="4">
        <v>266</v>
      </c>
      <c r="R105" s="4">
        <v>265</v>
      </c>
      <c r="S105" s="4">
        <v>263</v>
      </c>
      <c r="T105">
        <v>262</v>
      </c>
      <c r="U105">
        <v>261</v>
      </c>
      <c r="V105">
        <v>261</v>
      </c>
      <c r="W105">
        <v>260</v>
      </c>
      <c r="X105">
        <v>260</v>
      </c>
      <c r="Y105">
        <v>259</v>
      </c>
      <c r="Z105">
        <v>259</v>
      </c>
      <c r="AA105">
        <v>259</v>
      </c>
      <c r="AB105">
        <v>254</v>
      </c>
      <c r="AC105">
        <v>254</v>
      </c>
      <c r="AD105">
        <v>254</v>
      </c>
      <c r="AE105">
        <v>254</v>
      </c>
      <c r="AF105">
        <v>253</v>
      </c>
      <c r="AG105">
        <v>253</v>
      </c>
      <c r="AH105">
        <v>251</v>
      </c>
      <c r="AI105">
        <v>249</v>
      </c>
      <c r="AJ105">
        <v>248</v>
      </c>
      <c r="AK105">
        <v>233</v>
      </c>
      <c r="AL105">
        <v>233</v>
      </c>
    </row>
    <row r="107" spans="1:38" ht="22" x14ac:dyDescent="0.3">
      <c r="A107" s="54" t="s">
        <v>143</v>
      </c>
    </row>
    <row r="108" spans="1:38" x14ac:dyDescent="0.2">
      <c r="A108" s="12" t="s">
        <v>101</v>
      </c>
      <c r="B108" s="13" t="s">
        <v>102</v>
      </c>
      <c r="C108" s="13" t="s">
        <v>103</v>
      </c>
      <c r="D108" s="13" t="s">
        <v>104</v>
      </c>
      <c r="E108" s="13" t="s">
        <v>105</v>
      </c>
      <c r="F108" s="13" t="s">
        <v>106</v>
      </c>
      <c r="G108" s="13" t="s">
        <v>107</v>
      </c>
      <c r="H108" s="13" t="s">
        <v>108</v>
      </c>
      <c r="I108" s="13" t="s">
        <v>109</v>
      </c>
      <c r="J108" s="13" t="s">
        <v>110</v>
      </c>
      <c r="K108" s="13" t="s">
        <v>111</v>
      </c>
      <c r="L108" s="13" t="s">
        <v>112</v>
      </c>
      <c r="M108" s="13" t="s">
        <v>113</v>
      </c>
      <c r="N108" s="13" t="s">
        <v>114</v>
      </c>
      <c r="O108" s="13" t="s">
        <v>115</v>
      </c>
      <c r="P108" s="13" t="s">
        <v>116</v>
      </c>
      <c r="Q108" s="13" t="s">
        <v>117</v>
      </c>
      <c r="R108" s="13" t="s">
        <v>118</v>
      </c>
      <c r="S108" s="13" t="s">
        <v>119</v>
      </c>
      <c r="T108" s="13" t="s">
        <v>120</v>
      </c>
      <c r="U108" s="13" t="s">
        <v>121</v>
      </c>
      <c r="V108" s="13" t="s">
        <v>122</v>
      </c>
      <c r="W108" s="13" t="s">
        <v>123</v>
      </c>
      <c r="X108" s="13" t="s">
        <v>124</v>
      </c>
      <c r="Y108" s="13" t="s">
        <v>125</v>
      </c>
      <c r="Z108" s="13" t="s">
        <v>205</v>
      </c>
      <c r="AA108" s="13" t="s">
        <v>206</v>
      </c>
      <c r="AB108" s="13" t="s">
        <v>207</v>
      </c>
      <c r="AC108" s="13" t="s">
        <v>208</v>
      </c>
      <c r="AD108" s="80" t="s">
        <v>210</v>
      </c>
      <c r="AE108" s="84" t="s">
        <v>211</v>
      </c>
      <c r="AF108" s="80" t="s">
        <v>212</v>
      </c>
      <c r="AG108" s="88" t="s">
        <v>213</v>
      </c>
      <c r="AH108" s="88" t="s">
        <v>214</v>
      </c>
      <c r="AI108" s="88" t="s">
        <v>215</v>
      </c>
      <c r="AJ108" s="88" t="s">
        <v>216</v>
      </c>
      <c r="AK108" s="88" t="s">
        <v>217</v>
      </c>
      <c r="AL108" s="88" t="s">
        <v>218</v>
      </c>
    </row>
    <row r="109" spans="1:38" x14ac:dyDescent="0.2">
      <c r="A109" s="1" t="s">
        <v>10</v>
      </c>
      <c r="B109" s="2">
        <v>0.1497</v>
      </c>
      <c r="C109" s="2">
        <v>0.14480000000000001</v>
      </c>
      <c r="D109" s="2">
        <v>0.22220000000000001</v>
      </c>
      <c r="E109" s="25">
        <v>0.2361</v>
      </c>
      <c r="F109" s="25">
        <v>0.25690000000000002</v>
      </c>
      <c r="G109" s="3">
        <v>0.27079999999999999</v>
      </c>
      <c r="H109" s="2">
        <v>0.27589999999999998</v>
      </c>
      <c r="I109" s="2">
        <v>0.27779999999999999</v>
      </c>
      <c r="J109" s="2">
        <v>0.31469999999999998</v>
      </c>
      <c r="K109" s="2">
        <v>0.35859999999999997</v>
      </c>
      <c r="L109" s="2">
        <v>0.37240000000000001</v>
      </c>
      <c r="M109" s="2">
        <v>0.36730000000000002</v>
      </c>
      <c r="N109" s="2">
        <v>0.37840000000000001</v>
      </c>
      <c r="O109" s="2">
        <v>0.3826</v>
      </c>
      <c r="P109" s="2">
        <v>0.41959999999999997</v>
      </c>
      <c r="Q109" s="2">
        <v>0.4577</v>
      </c>
      <c r="R109" s="2">
        <v>0.46479999999999999</v>
      </c>
      <c r="S109" s="2">
        <v>0.4718</v>
      </c>
      <c r="T109" s="78">
        <v>0.52210000000000001</v>
      </c>
      <c r="U109" s="78">
        <v>0.51470000000000005</v>
      </c>
      <c r="V109" s="78">
        <v>0.53280000000000005</v>
      </c>
      <c r="W109" s="78">
        <v>0.58389999999999997</v>
      </c>
      <c r="X109" s="78">
        <v>0.61029999999999995</v>
      </c>
      <c r="Y109" s="78">
        <v>0.61760000000000004</v>
      </c>
      <c r="Z109" s="78">
        <v>0.6875</v>
      </c>
      <c r="AA109" s="78">
        <v>0.74019999999999997</v>
      </c>
      <c r="AB109" s="78">
        <v>0.76190000000000002</v>
      </c>
      <c r="AC109" s="78">
        <v>0.77780000000000005</v>
      </c>
      <c r="AD109" s="78">
        <v>0.78739999999999999</v>
      </c>
      <c r="AE109" s="86">
        <v>0.81099999999999994</v>
      </c>
      <c r="AF109" s="86">
        <v>0.83329999999999993</v>
      </c>
      <c r="AG109" s="86">
        <v>0.83200000000000007</v>
      </c>
      <c r="AH109" s="86">
        <v>0.84</v>
      </c>
      <c r="AI109" s="86">
        <v>0.8698999999999999</v>
      </c>
      <c r="AJ109" s="86">
        <v>0.90980000000000005</v>
      </c>
      <c r="AK109" s="86">
        <v>0.90980000000000005</v>
      </c>
      <c r="AL109" s="86">
        <v>0.91670000000000007</v>
      </c>
    </row>
    <row r="111" spans="1:38" x14ac:dyDescent="0.2">
      <c r="A111" s="12" t="s">
        <v>126</v>
      </c>
      <c r="B111" s="13" t="s">
        <v>102</v>
      </c>
      <c r="C111" s="13" t="s">
        <v>103</v>
      </c>
      <c r="D111" s="13" t="s">
        <v>104</v>
      </c>
      <c r="E111" s="13" t="s">
        <v>105</v>
      </c>
      <c r="F111" s="13" t="s">
        <v>106</v>
      </c>
      <c r="G111" s="13" t="s">
        <v>107</v>
      </c>
      <c r="H111" s="13" t="s">
        <v>108</v>
      </c>
      <c r="I111" s="13" t="s">
        <v>109</v>
      </c>
      <c r="J111" s="13" t="s">
        <v>110</v>
      </c>
      <c r="K111" s="13" t="s">
        <v>111</v>
      </c>
      <c r="L111" s="13" t="s">
        <v>112</v>
      </c>
      <c r="M111" s="13" t="s">
        <v>113</v>
      </c>
      <c r="N111" s="13" t="s">
        <v>114</v>
      </c>
      <c r="O111" s="13" t="s">
        <v>115</v>
      </c>
      <c r="P111" s="13" t="s">
        <v>116</v>
      </c>
      <c r="Q111" s="13" t="s">
        <v>117</v>
      </c>
      <c r="R111" s="13" t="s">
        <v>118</v>
      </c>
      <c r="S111" s="13" t="s">
        <v>119</v>
      </c>
      <c r="T111" s="13" t="s">
        <v>120</v>
      </c>
      <c r="U111" s="13" t="s">
        <v>121</v>
      </c>
      <c r="V111" s="13" t="s">
        <v>122</v>
      </c>
      <c r="W111" s="13" t="s">
        <v>123</v>
      </c>
      <c r="X111" s="13" t="s">
        <v>124</v>
      </c>
      <c r="Y111" s="13" t="s">
        <v>125</v>
      </c>
      <c r="Z111" s="13" t="s">
        <v>205</v>
      </c>
      <c r="AA111" s="13" t="s">
        <v>206</v>
      </c>
      <c r="AB111" s="13" t="s">
        <v>207</v>
      </c>
      <c r="AC111" s="13" t="s">
        <v>208</v>
      </c>
      <c r="AD111" s="80" t="s">
        <v>210</v>
      </c>
      <c r="AE111" s="80" t="s">
        <v>211</v>
      </c>
      <c r="AF111" s="80" t="s">
        <v>212</v>
      </c>
      <c r="AG111" s="88" t="s">
        <v>213</v>
      </c>
      <c r="AH111" s="88" t="s">
        <v>214</v>
      </c>
      <c r="AI111" s="88" t="s">
        <v>215</v>
      </c>
      <c r="AJ111" s="88" t="s">
        <v>216</v>
      </c>
      <c r="AK111" s="88" t="s">
        <v>217</v>
      </c>
      <c r="AL111" s="88" t="s">
        <v>218</v>
      </c>
    </row>
    <row r="112" spans="1:38" x14ac:dyDescent="0.2">
      <c r="A112" s="1" t="s">
        <v>127</v>
      </c>
      <c r="B112" s="4">
        <v>22</v>
      </c>
      <c r="C112" s="4">
        <v>21</v>
      </c>
      <c r="D112" s="4">
        <v>32</v>
      </c>
      <c r="E112" s="4">
        <v>34</v>
      </c>
      <c r="F112" s="20">
        <v>37</v>
      </c>
      <c r="G112" s="4">
        <v>39</v>
      </c>
      <c r="H112" s="4">
        <v>40</v>
      </c>
      <c r="I112" s="4">
        <v>40</v>
      </c>
      <c r="J112" s="4">
        <v>45</v>
      </c>
      <c r="K112" s="4">
        <v>52</v>
      </c>
      <c r="L112" s="4">
        <v>54</v>
      </c>
      <c r="M112" s="4">
        <v>54</v>
      </c>
      <c r="N112" s="4">
        <v>56</v>
      </c>
      <c r="O112" s="4">
        <v>57</v>
      </c>
      <c r="P112" s="4">
        <v>60</v>
      </c>
      <c r="Q112" s="4">
        <v>65</v>
      </c>
      <c r="R112" s="4">
        <v>66</v>
      </c>
      <c r="S112" s="4">
        <v>67</v>
      </c>
      <c r="T112">
        <v>71</v>
      </c>
      <c r="U112">
        <v>70</v>
      </c>
      <c r="V112">
        <v>73</v>
      </c>
      <c r="W112">
        <v>80</v>
      </c>
      <c r="X112">
        <v>83</v>
      </c>
      <c r="Y112">
        <v>84</v>
      </c>
      <c r="Z112">
        <v>88</v>
      </c>
      <c r="AA112">
        <v>94</v>
      </c>
      <c r="AB112">
        <v>96</v>
      </c>
      <c r="AC112">
        <v>98</v>
      </c>
      <c r="AD112">
        <v>100</v>
      </c>
      <c r="AE112">
        <v>103</v>
      </c>
      <c r="AF112">
        <v>105</v>
      </c>
      <c r="AG112">
        <v>104</v>
      </c>
      <c r="AH112">
        <v>105</v>
      </c>
      <c r="AI112">
        <v>107</v>
      </c>
      <c r="AJ112">
        <v>111</v>
      </c>
      <c r="AK112">
        <v>111</v>
      </c>
      <c r="AL112">
        <v>110</v>
      </c>
    </row>
    <row r="113" spans="1:38" x14ac:dyDescent="0.2">
      <c r="A113" s="1" t="s">
        <v>128</v>
      </c>
      <c r="B113" s="4">
        <v>90</v>
      </c>
      <c r="C113" s="4">
        <v>90</v>
      </c>
      <c r="D113" s="4">
        <v>80</v>
      </c>
      <c r="E113" s="4">
        <v>79</v>
      </c>
      <c r="F113" s="20">
        <v>80</v>
      </c>
      <c r="G113" s="4">
        <v>79</v>
      </c>
      <c r="H113" s="4">
        <v>78</v>
      </c>
      <c r="I113" s="4">
        <v>77</v>
      </c>
      <c r="J113" s="4">
        <v>74</v>
      </c>
      <c r="K113" s="4">
        <v>70</v>
      </c>
      <c r="L113" s="4">
        <v>68</v>
      </c>
      <c r="M113" s="4">
        <v>70</v>
      </c>
      <c r="N113" s="4">
        <v>73</v>
      </c>
      <c r="O113" s="4">
        <v>74</v>
      </c>
      <c r="P113" s="4">
        <v>68</v>
      </c>
      <c r="Q113" s="4">
        <v>63</v>
      </c>
      <c r="R113" s="4">
        <v>62</v>
      </c>
      <c r="S113" s="4">
        <v>62</v>
      </c>
      <c r="T113">
        <v>56</v>
      </c>
      <c r="U113">
        <v>57</v>
      </c>
      <c r="V113">
        <v>58</v>
      </c>
      <c r="W113">
        <v>51</v>
      </c>
      <c r="X113">
        <v>52</v>
      </c>
      <c r="Y113">
        <v>51</v>
      </c>
      <c r="Z113">
        <v>40</v>
      </c>
      <c r="AA113">
        <v>33</v>
      </c>
      <c r="AB113">
        <v>30</v>
      </c>
      <c r="AC113">
        <v>28</v>
      </c>
      <c r="AD113">
        <v>27</v>
      </c>
      <c r="AE113">
        <v>24</v>
      </c>
      <c r="AF113">
        <v>20</v>
      </c>
      <c r="AG113">
        <v>20</v>
      </c>
      <c r="AH113">
        <v>19</v>
      </c>
      <c r="AI113">
        <v>16</v>
      </c>
      <c r="AJ113">
        <v>11</v>
      </c>
      <c r="AK113">
        <v>11</v>
      </c>
      <c r="AL113">
        <v>10</v>
      </c>
    </row>
    <row r="114" spans="1:38" x14ac:dyDescent="0.2">
      <c r="A114" s="4" t="s">
        <v>129</v>
      </c>
      <c r="B114" s="21">
        <v>1</v>
      </c>
      <c r="C114" s="21">
        <v>1</v>
      </c>
      <c r="D114" s="21">
        <v>1</v>
      </c>
      <c r="E114" s="21">
        <v>1</v>
      </c>
      <c r="F114" s="21">
        <v>1</v>
      </c>
      <c r="G114" s="9">
        <v>1</v>
      </c>
      <c r="H114" s="9">
        <v>1</v>
      </c>
      <c r="I114" s="9">
        <v>1</v>
      </c>
      <c r="J114" s="9">
        <v>1</v>
      </c>
      <c r="K114" s="9">
        <v>1</v>
      </c>
      <c r="L114" s="9">
        <v>1</v>
      </c>
      <c r="M114" s="9">
        <v>1</v>
      </c>
      <c r="N114" s="9">
        <v>1</v>
      </c>
      <c r="O114" s="9">
        <v>1</v>
      </c>
      <c r="P114" s="9">
        <v>1</v>
      </c>
      <c r="Q114" s="9">
        <v>1</v>
      </c>
      <c r="R114" s="9">
        <v>1</v>
      </c>
      <c r="S114" s="9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3</v>
      </c>
      <c r="AA114">
        <v>3</v>
      </c>
      <c r="AB114">
        <v>3</v>
      </c>
      <c r="AC114">
        <v>2</v>
      </c>
      <c r="AD114">
        <v>2</v>
      </c>
      <c r="AE114">
        <v>2</v>
      </c>
      <c r="AF114">
        <v>2</v>
      </c>
      <c r="AG114">
        <v>1</v>
      </c>
      <c r="AH114">
        <v>1</v>
      </c>
      <c r="AI114">
        <v>2</v>
      </c>
      <c r="AJ114">
        <v>2</v>
      </c>
      <c r="AK114">
        <v>2</v>
      </c>
      <c r="AL114">
        <v>2</v>
      </c>
    </row>
    <row r="115" spans="1:38" x14ac:dyDescent="0.2">
      <c r="A115" s="1" t="s">
        <v>130</v>
      </c>
      <c r="B115" s="4">
        <v>35</v>
      </c>
      <c r="C115" s="4">
        <v>34</v>
      </c>
      <c r="D115" s="4">
        <v>32</v>
      </c>
      <c r="E115" s="4">
        <v>31</v>
      </c>
      <c r="F115" s="20">
        <v>27</v>
      </c>
      <c r="G115" s="4">
        <v>26</v>
      </c>
      <c r="H115" s="4">
        <v>27</v>
      </c>
      <c r="I115" s="4">
        <v>27</v>
      </c>
      <c r="J115" s="4">
        <v>24</v>
      </c>
      <c r="K115" s="4">
        <v>23</v>
      </c>
      <c r="L115" s="4">
        <v>23</v>
      </c>
      <c r="M115" s="4">
        <v>23</v>
      </c>
      <c r="N115" s="4">
        <v>19</v>
      </c>
      <c r="O115" s="4">
        <v>18</v>
      </c>
      <c r="P115" s="4">
        <v>15</v>
      </c>
      <c r="Q115" s="4">
        <v>14</v>
      </c>
      <c r="R115" s="4">
        <v>14</v>
      </c>
      <c r="S115" s="4">
        <v>13</v>
      </c>
      <c r="T115">
        <v>9</v>
      </c>
      <c r="U115">
        <v>9</v>
      </c>
      <c r="V115">
        <v>6</v>
      </c>
      <c r="W115">
        <v>6</v>
      </c>
      <c r="X115">
        <v>1</v>
      </c>
      <c r="Y115">
        <v>1</v>
      </c>
      <c r="Z115" t="s">
        <v>139</v>
      </c>
      <c r="AA115" t="s">
        <v>139</v>
      </c>
      <c r="AB115" t="s">
        <v>139</v>
      </c>
      <c r="AC115" t="s">
        <v>139</v>
      </c>
      <c r="AD115" t="s">
        <v>139</v>
      </c>
      <c r="AE115" t="s">
        <v>139</v>
      </c>
      <c r="AF115">
        <v>1</v>
      </c>
      <c r="AG115">
        <v>1</v>
      </c>
      <c r="AH115">
        <v>1</v>
      </c>
      <c r="AI115" t="s">
        <v>139</v>
      </c>
      <c r="AJ115" t="s">
        <v>139</v>
      </c>
      <c r="AK115" t="s">
        <v>139</v>
      </c>
      <c r="AL115" t="s">
        <v>139</v>
      </c>
    </row>
    <row r="116" spans="1:38" x14ac:dyDescent="0.2">
      <c r="A116" s="4" t="s">
        <v>131</v>
      </c>
      <c r="B116" s="4">
        <v>6</v>
      </c>
      <c r="C116" s="4">
        <v>6</v>
      </c>
      <c r="D116" s="4">
        <v>6</v>
      </c>
      <c r="E116" s="4">
        <v>6</v>
      </c>
      <c r="F116" s="20">
        <v>6</v>
      </c>
      <c r="G116" s="4">
        <v>6</v>
      </c>
      <c r="H116" s="4">
        <v>7</v>
      </c>
      <c r="I116" s="4">
        <v>7</v>
      </c>
      <c r="J116" s="4">
        <v>7</v>
      </c>
      <c r="K116" s="4">
        <v>7</v>
      </c>
      <c r="L116" s="4">
        <v>7</v>
      </c>
      <c r="M116" s="4">
        <v>6</v>
      </c>
      <c r="N116" s="4">
        <v>6</v>
      </c>
      <c r="O116" s="4">
        <v>6</v>
      </c>
      <c r="P116" s="4">
        <v>6</v>
      </c>
      <c r="Q116" s="4">
        <v>6</v>
      </c>
      <c r="R116" s="4">
        <v>6</v>
      </c>
      <c r="S116" s="4">
        <v>6</v>
      </c>
      <c r="T116">
        <v>6</v>
      </c>
      <c r="U116">
        <v>6</v>
      </c>
      <c r="V116">
        <v>5</v>
      </c>
      <c r="W116">
        <v>4</v>
      </c>
      <c r="X116">
        <v>4</v>
      </c>
      <c r="Y116">
        <v>4</v>
      </c>
      <c r="Z116">
        <v>4</v>
      </c>
      <c r="AA116">
        <v>4</v>
      </c>
      <c r="AB116">
        <v>4</v>
      </c>
      <c r="AC116">
        <v>5</v>
      </c>
      <c r="AD116">
        <v>5</v>
      </c>
      <c r="AE116">
        <v>5</v>
      </c>
      <c r="AF116">
        <v>4</v>
      </c>
      <c r="AG116">
        <v>4</v>
      </c>
      <c r="AH116">
        <v>4</v>
      </c>
      <c r="AI116">
        <v>4</v>
      </c>
      <c r="AJ116">
        <v>4</v>
      </c>
      <c r="AK116">
        <v>4</v>
      </c>
      <c r="AL116">
        <v>4</v>
      </c>
    </row>
    <row r="117" spans="1:38" x14ac:dyDescent="0.2">
      <c r="A117" s="4" t="s">
        <v>132</v>
      </c>
      <c r="B117" s="4">
        <v>1</v>
      </c>
      <c r="C117" s="4">
        <v>1</v>
      </c>
      <c r="D117" s="4">
        <v>1</v>
      </c>
      <c r="E117" s="4">
        <v>1</v>
      </c>
      <c r="F117" s="20">
        <v>1</v>
      </c>
      <c r="G117" s="4">
        <v>1</v>
      </c>
      <c r="H117" s="4">
        <v>1</v>
      </c>
      <c r="I117" s="4">
        <v>1</v>
      </c>
      <c r="J117" s="4">
        <v>1</v>
      </c>
      <c r="K117" s="4">
        <v>1</v>
      </c>
      <c r="L117" s="4">
        <v>1</v>
      </c>
      <c r="M117" s="4">
        <v>1</v>
      </c>
      <c r="N117" s="4">
        <v>1</v>
      </c>
      <c r="O117" s="4">
        <v>1</v>
      </c>
      <c r="P117" s="4">
        <v>1</v>
      </c>
      <c r="Q117" s="4">
        <v>1</v>
      </c>
      <c r="R117" s="4">
        <v>1</v>
      </c>
      <c r="S117" s="4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1</v>
      </c>
      <c r="AL117">
        <v>1</v>
      </c>
    </row>
    <row r="118" spans="1:38" x14ac:dyDescent="0.2">
      <c r="A118" s="4" t="s">
        <v>133</v>
      </c>
      <c r="B118" s="4">
        <v>1</v>
      </c>
      <c r="C118" s="4">
        <v>1</v>
      </c>
      <c r="D118" s="4">
        <v>1</v>
      </c>
      <c r="E118" s="4">
        <v>1</v>
      </c>
      <c r="F118" s="20">
        <v>1</v>
      </c>
      <c r="G118" s="4" t="s">
        <v>139</v>
      </c>
      <c r="H118" s="4" t="s">
        <v>139</v>
      </c>
      <c r="I118" s="4" t="s">
        <v>139</v>
      </c>
      <c r="J118" s="4" t="s">
        <v>139</v>
      </c>
      <c r="K118" s="4" t="s">
        <v>139</v>
      </c>
      <c r="L118" s="4" t="s">
        <v>139</v>
      </c>
      <c r="M118" s="4" t="s">
        <v>139</v>
      </c>
      <c r="N118" s="4" t="s">
        <v>139</v>
      </c>
      <c r="O118" s="4" t="s">
        <v>139</v>
      </c>
      <c r="P118" s="4">
        <v>1</v>
      </c>
      <c r="Q118" s="4">
        <v>1</v>
      </c>
      <c r="R118" s="4">
        <v>1</v>
      </c>
      <c r="S118" s="4">
        <v>1</v>
      </c>
      <c r="T118">
        <v>3</v>
      </c>
      <c r="U118">
        <v>3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2</v>
      </c>
      <c r="AG118">
        <v>2</v>
      </c>
      <c r="AH118">
        <v>2</v>
      </c>
      <c r="AI118">
        <v>3</v>
      </c>
      <c r="AJ118">
        <v>3</v>
      </c>
      <c r="AK118">
        <v>3</v>
      </c>
      <c r="AL118">
        <v>3</v>
      </c>
    </row>
    <row r="119" spans="1:38" x14ac:dyDescent="0.2">
      <c r="A119" s="4" t="s">
        <v>135</v>
      </c>
      <c r="B119" s="4">
        <v>1</v>
      </c>
      <c r="C119" s="4">
        <v>1</v>
      </c>
      <c r="D119" s="4">
        <v>1</v>
      </c>
      <c r="E119" s="4">
        <v>1</v>
      </c>
      <c r="F119" s="21">
        <v>1</v>
      </c>
      <c r="G119" s="9">
        <v>1</v>
      </c>
      <c r="H119" s="9">
        <v>1</v>
      </c>
      <c r="I119" s="9">
        <v>1</v>
      </c>
      <c r="J119" s="9">
        <v>1</v>
      </c>
      <c r="K119" s="9">
        <v>1</v>
      </c>
      <c r="L119" s="9">
        <v>1</v>
      </c>
      <c r="M119" s="9">
        <v>1</v>
      </c>
      <c r="N119" s="9">
        <v>1</v>
      </c>
      <c r="O119" s="9">
        <v>1</v>
      </c>
      <c r="P119" s="9">
        <v>1</v>
      </c>
      <c r="Q119" s="9">
        <v>1</v>
      </c>
      <c r="R119" s="9">
        <v>1</v>
      </c>
      <c r="S119" s="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2</v>
      </c>
      <c r="AB119">
        <v>2</v>
      </c>
      <c r="AC119">
        <v>2</v>
      </c>
      <c r="AD119">
        <v>2</v>
      </c>
      <c r="AE119">
        <v>2</v>
      </c>
      <c r="AF119">
        <v>2</v>
      </c>
      <c r="AG119">
        <v>2</v>
      </c>
      <c r="AH119">
        <v>2</v>
      </c>
      <c r="AI119">
        <v>2</v>
      </c>
      <c r="AJ119">
        <v>2</v>
      </c>
      <c r="AK119">
        <v>2</v>
      </c>
      <c r="AL119">
        <v>2</v>
      </c>
    </row>
    <row r="120" spans="1:38" x14ac:dyDescent="0.2">
      <c r="A120" s="4" t="s">
        <v>136</v>
      </c>
      <c r="B120" s="21">
        <v>3</v>
      </c>
      <c r="C120" s="21">
        <v>4</v>
      </c>
      <c r="D120" s="21">
        <v>5</v>
      </c>
      <c r="E120" s="21">
        <v>5</v>
      </c>
      <c r="F120" s="21">
        <v>5</v>
      </c>
      <c r="G120" s="9">
        <v>6</v>
      </c>
      <c r="H120" s="9">
        <v>6</v>
      </c>
      <c r="I120" s="9">
        <v>6</v>
      </c>
      <c r="J120" s="9">
        <v>6</v>
      </c>
      <c r="K120" s="9">
        <v>6</v>
      </c>
      <c r="L120" s="9">
        <v>6</v>
      </c>
      <c r="M120" s="9">
        <v>6</v>
      </c>
      <c r="N120" s="9">
        <v>6</v>
      </c>
      <c r="O120" s="9">
        <v>6</v>
      </c>
      <c r="P120" s="9">
        <v>5</v>
      </c>
      <c r="Q120" s="9">
        <v>5</v>
      </c>
      <c r="R120" s="9">
        <v>5</v>
      </c>
      <c r="S120" s="9">
        <v>5</v>
      </c>
      <c r="T120">
        <v>6</v>
      </c>
      <c r="U120">
        <v>6</v>
      </c>
      <c r="V120">
        <v>7</v>
      </c>
      <c r="W120">
        <v>7</v>
      </c>
      <c r="X120">
        <v>7</v>
      </c>
      <c r="Y120">
        <v>7</v>
      </c>
      <c r="Z120">
        <v>8</v>
      </c>
      <c r="AA120">
        <v>8</v>
      </c>
      <c r="AB120">
        <v>8</v>
      </c>
      <c r="AC120">
        <v>8</v>
      </c>
      <c r="AD120">
        <v>8</v>
      </c>
      <c r="AE120">
        <v>8</v>
      </c>
      <c r="AF120">
        <v>7</v>
      </c>
      <c r="AG120">
        <v>7</v>
      </c>
      <c r="AH120">
        <v>7</v>
      </c>
      <c r="AI120">
        <v>7</v>
      </c>
      <c r="AJ120">
        <v>7</v>
      </c>
      <c r="AK120">
        <v>7</v>
      </c>
      <c r="AL120">
        <v>7</v>
      </c>
    </row>
    <row r="121" spans="1:38" x14ac:dyDescent="0.2">
      <c r="A121" s="4" t="s">
        <v>134</v>
      </c>
      <c r="B121" s="21" t="s">
        <v>139</v>
      </c>
      <c r="C121" s="21">
        <v>1</v>
      </c>
      <c r="D121" s="21">
        <v>1</v>
      </c>
      <c r="E121" s="21">
        <v>1</v>
      </c>
      <c r="F121" s="21">
        <v>1</v>
      </c>
      <c r="G121" s="22">
        <v>1</v>
      </c>
      <c r="H121" s="22">
        <v>1</v>
      </c>
      <c r="I121" s="22">
        <v>1</v>
      </c>
      <c r="J121" s="22">
        <v>1</v>
      </c>
      <c r="K121" s="22">
        <v>1</v>
      </c>
      <c r="L121" s="22">
        <v>1</v>
      </c>
      <c r="M121" s="22">
        <v>1</v>
      </c>
      <c r="N121" s="22">
        <v>1</v>
      </c>
      <c r="O121" s="22">
        <v>1</v>
      </c>
      <c r="P121" s="23">
        <v>2</v>
      </c>
      <c r="Q121" s="9">
        <v>1</v>
      </c>
      <c r="R121" s="9">
        <v>1</v>
      </c>
      <c r="S121" s="9">
        <v>1</v>
      </c>
      <c r="T121">
        <v>1</v>
      </c>
      <c r="U121">
        <v>1</v>
      </c>
      <c r="V121" t="s">
        <v>139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2</v>
      </c>
      <c r="AH121">
        <v>2</v>
      </c>
      <c r="AI121">
        <v>2</v>
      </c>
      <c r="AJ121">
        <v>3</v>
      </c>
      <c r="AK121">
        <v>3</v>
      </c>
      <c r="AL121">
        <v>3</v>
      </c>
    </row>
    <row r="122" spans="1:38" x14ac:dyDescent="0.2">
      <c r="A122" s="7" t="s">
        <v>137</v>
      </c>
      <c r="B122" s="8">
        <v>160</v>
      </c>
      <c r="C122" s="8">
        <v>160</v>
      </c>
      <c r="D122" s="8">
        <v>160</v>
      </c>
      <c r="E122" s="8">
        <v>160</v>
      </c>
      <c r="F122" s="8">
        <v>160</v>
      </c>
      <c r="G122" s="9">
        <v>160</v>
      </c>
      <c r="H122" s="4">
        <v>162</v>
      </c>
      <c r="I122" s="4">
        <v>161</v>
      </c>
      <c r="J122" s="4">
        <v>160</v>
      </c>
      <c r="K122" s="4">
        <v>162</v>
      </c>
      <c r="L122" s="4">
        <v>162</v>
      </c>
      <c r="M122" s="4">
        <v>163</v>
      </c>
      <c r="N122" s="4">
        <v>164</v>
      </c>
      <c r="O122" s="4">
        <v>165</v>
      </c>
      <c r="P122" s="4">
        <v>160</v>
      </c>
      <c r="Q122" s="4">
        <v>158</v>
      </c>
      <c r="R122" s="4">
        <v>158</v>
      </c>
      <c r="S122" s="4">
        <v>158</v>
      </c>
      <c r="T122">
        <v>155</v>
      </c>
      <c r="U122">
        <v>155</v>
      </c>
      <c r="V122">
        <v>153</v>
      </c>
      <c r="W122">
        <v>153</v>
      </c>
      <c r="X122">
        <v>152</v>
      </c>
      <c r="Y122">
        <v>152</v>
      </c>
      <c r="Z122">
        <v>147</v>
      </c>
      <c r="AA122">
        <v>147</v>
      </c>
      <c r="AB122">
        <v>146</v>
      </c>
      <c r="AC122">
        <v>146</v>
      </c>
      <c r="AD122">
        <v>147</v>
      </c>
      <c r="AE122">
        <v>147</v>
      </c>
      <c r="AF122">
        <v>145</v>
      </c>
      <c r="AG122">
        <v>144</v>
      </c>
      <c r="AH122">
        <v>144</v>
      </c>
      <c r="AI122">
        <v>144</v>
      </c>
      <c r="AJ122">
        <v>144</v>
      </c>
      <c r="AK122">
        <v>144</v>
      </c>
      <c r="AL122">
        <v>142</v>
      </c>
    </row>
    <row r="124" spans="1:38" ht="22" x14ac:dyDescent="0.3">
      <c r="A124" s="54" t="s">
        <v>144</v>
      </c>
    </row>
    <row r="125" spans="1:38" x14ac:dyDescent="0.2">
      <c r="A125" s="12" t="s">
        <v>101</v>
      </c>
      <c r="B125" s="13" t="s">
        <v>102</v>
      </c>
      <c r="C125" s="13" t="s">
        <v>103</v>
      </c>
      <c r="D125" s="13" t="s">
        <v>104</v>
      </c>
      <c r="E125" s="13" t="s">
        <v>105</v>
      </c>
      <c r="F125" s="13" t="s">
        <v>106</v>
      </c>
      <c r="G125" s="13" t="s">
        <v>107</v>
      </c>
      <c r="H125" s="13" t="s">
        <v>108</v>
      </c>
      <c r="I125" s="13" t="s">
        <v>109</v>
      </c>
      <c r="J125" s="13" t="s">
        <v>110</v>
      </c>
      <c r="K125" s="13" t="s">
        <v>111</v>
      </c>
      <c r="L125" s="13" t="s">
        <v>112</v>
      </c>
      <c r="M125" s="13" t="s">
        <v>113</v>
      </c>
      <c r="N125" s="13" t="s">
        <v>114</v>
      </c>
      <c r="O125" s="13" t="s">
        <v>115</v>
      </c>
      <c r="P125" s="13" t="s">
        <v>116</v>
      </c>
      <c r="Q125" s="13" t="s">
        <v>117</v>
      </c>
      <c r="R125" s="13" t="s">
        <v>118</v>
      </c>
      <c r="S125" s="13" t="s">
        <v>119</v>
      </c>
      <c r="T125" s="13" t="s">
        <v>120</v>
      </c>
      <c r="U125" s="13" t="s">
        <v>121</v>
      </c>
      <c r="V125" s="13" t="s">
        <v>122</v>
      </c>
      <c r="W125" s="13" t="s">
        <v>123</v>
      </c>
      <c r="X125" s="13" t="s">
        <v>124</v>
      </c>
      <c r="Y125" s="13" t="s">
        <v>125</v>
      </c>
      <c r="Z125" s="13" t="s">
        <v>205</v>
      </c>
      <c r="AA125" s="13" t="s">
        <v>206</v>
      </c>
      <c r="AB125" s="13" t="s">
        <v>207</v>
      </c>
      <c r="AC125" s="13" t="s">
        <v>208</v>
      </c>
      <c r="AD125" s="80" t="s">
        <v>210</v>
      </c>
      <c r="AE125" s="84" t="s">
        <v>211</v>
      </c>
      <c r="AF125" s="80" t="s">
        <v>212</v>
      </c>
      <c r="AG125" s="88" t="s">
        <v>213</v>
      </c>
      <c r="AH125" s="88" t="s">
        <v>214</v>
      </c>
      <c r="AI125" s="88" t="s">
        <v>215</v>
      </c>
      <c r="AJ125" s="88" t="s">
        <v>216</v>
      </c>
      <c r="AK125" s="88" t="s">
        <v>217</v>
      </c>
      <c r="AL125" s="88" t="s">
        <v>218</v>
      </c>
    </row>
    <row r="126" spans="1:38" x14ac:dyDescent="0.2">
      <c r="A126" s="1" t="s">
        <v>10</v>
      </c>
      <c r="B126" s="2">
        <v>0.19120000000000001</v>
      </c>
      <c r="C126" s="2">
        <v>0.17910000000000001</v>
      </c>
      <c r="D126" s="2">
        <v>0.14929999999999999</v>
      </c>
      <c r="E126" s="25">
        <v>0.1515</v>
      </c>
      <c r="F126" s="25">
        <v>0.16669999999999999</v>
      </c>
      <c r="G126" s="3">
        <v>0.16669999999999999</v>
      </c>
      <c r="H126" s="2">
        <v>0.18179999999999999</v>
      </c>
      <c r="I126" s="2">
        <v>0.18179999999999999</v>
      </c>
      <c r="J126" s="2">
        <v>0.19120000000000001</v>
      </c>
      <c r="K126" s="2">
        <v>0.2029</v>
      </c>
      <c r="L126" s="2">
        <v>0.24640000000000001</v>
      </c>
      <c r="M126" s="2">
        <v>0.24640000000000001</v>
      </c>
      <c r="N126" s="2">
        <v>0.25</v>
      </c>
      <c r="O126" s="2">
        <v>0.27539999999999998</v>
      </c>
      <c r="P126" s="2">
        <v>0.30430000000000001</v>
      </c>
      <c r="Q126" s="2">
        <v>0.31879999999999997</v>
      </c>
      <c r="R126" s="2">
        <v>0.31879999999999997</v>
      </c>
      <c r="S126" s="2">
        <v>0.32840000000000003</v>
      </c>
      <c r="T126" s="78">
        <v>0.32840000000000003</v>
      </c>
      <c r="U126" s="78">
        <v>0.34329999999999999</v>
      </c>
      <c r="V126" s="78">
        <v>0.34329999999999999</v>
      </c>
      <c r="W126" s="78">
        <v>0.37309999999999999</v>
      </c>
      <c r="X126" s="78">
        <v>0.37309999999999999</v>
      </c>
      <c r="Y126" s="78">
        <v>0.37309999999999999</v>
      </c>
      <c r="Z126" s="78">
        <v>0.37309999999999999</v>
      </c>
      <c r="AA126" s="78">
        <v>0.46879999999999999</v>
      </c>
      <c r="AB126" s="78">
        <v>0.4844</v>
      </c>
      <c r="AC126" s="78">
        <v>0.51559999999999995</v>
      </c>
      <c r="AD126" s="78">
        <v>0.51559999999999995</v>
      </c>
      <c r="AE126" s="85">
        <v>0.54689999999999994</v>
      </c>
      <c r="AF126" s="87">
        <v>0.55559999999999998</v>
      </c>
      <c r="AG126" s="85">
        <v>0.60319999999999996</v>
      </c>
      <c r="AH126" s="85">
        <v>0.629</v>
      </c>
      <c r="AI126" s="85">
        <v>0.629</v>
      </c>
      <c r="AJ126" s="85">
        <v>0.6613</v>
      </c>
      <c r="AK126" s="85">
        <v>0.68849999999999989</v>
      </c>
      <c r="AL126" s="85">
        <v>0.68849999999999989</v>
      </c>
    </row>
    <row r="128" spans="1:38" x14ac:dyDescent="0.2">
      <c r="A128" s="12" t="s">
        <v>126</v>
      </c>
      <c r="B128" s="13" t="s">
        <v>102</v>
      </c>
      <c r="C128" s="13" t="s">
        <v>103</v>
      </c>
      <c r="D128" s="13" t="s">
        <v>104</v>
      </c>
      <c r="E128" s="13" t="s">
        <v>105</v>
      </c>
      <c r="F128" s="13" t="s">
        <v>106</v>
      </c>
      <c r="G128" s="13" t="s">
        <v>107</v>
      </c>
      <c r="H128" s="13" t="s">
        <v>108</v>
      </c>
      <c r="I128" s="13" t="s">
        <v>109</v>
      </c>
      <c r="J128" s="13" t="s">
        <v>110</v>
      </c>
      <c r="K128" s="13" t="s">
        <v>111</v>
      </c>
      <c r="L128" s="13" t="s">
        <v>112</v>
      </c>
      <c r="M128" s="13" t="s">
        <v>113</v>
      </c>
      <c r="N128" s="13" t="s">
        <v>114</v>
      </c>
      <c r="O128" s="13" t="s">
        <v>115</v>
      </c>
      <c r="P128" s="13" t="s">
        <v>116</v>
      </c>
      <c r="Q128" s="13" t="s">
        <v>117</v>
      </c>
      <c r="R128" s="13" t="s">
        <v>118</v>
      </c>
      <c r="S128" s="13" t="s">
        <v>119</v>
      </c>
      <c r="T128" s="13" t="s">
        <v>120</v>
      </c>
      <c r="U128" s="13" t="s">
        <v>121</v>
      </c>
      <c r="V128" s="13" t="s">
        <v>122</v>
      </c>
      <c r="W128" s="13" t="s">
        <v>123</v>
      </c>
      <c r="X128" s="13" t="s">
        <v>124</v>
      </c>
      <c r="Y128" s="13" t="s">
        <v>125</v>
      </c>
      <c r="Z128" s="13" t="s">
        <v>205</v>
      </c>
      <c r="AA128" s="13" t="s">
        <v>206</v>
      </c>
      <c r="AB128" s="13" t="s">
        <v>207</v>
      </c>
      <c r="AC128" s="13" t="s">
        <v>208</v>
      </c>
      <c r="AD128" s="80" t="s">
        <v>210</v>
      </c>
      <c r="AE128" s="80" t="s">
        <v>211</v>
      </c>
      <c r="AF128" s="80" t="s">
        <v>212</v>
      </c>
      <c r="AG128" s="88" t="s">
        <v>213</v>
      </c>
      <c r="AH128" s="88" t="s">
        <v>214</v>
      </c>
      <c r="AI128" s="88" t="s">
        <v>215</v>
      </c>
      <c r="AJ128" s="88" t="s">
        <v>216</v>
      </c>
      <c r="AK128" s="88" t="s">
        <v>217</v>
      </c>
      <c r="AL128" s="88" t="s">
        <v>218</v>
      </c>
    </row>
    <row r="129" spans="1:38" x14ac:dyDescent="0.2">
      <c r="A129" s="1" t="s">
        <v>127</v>
      </c>
      <c r="B129" s="4">
        <v>13</v>
      </c>
      <c r="C129" s="4">
        <v>12</v>
      </c>
      <c r="D129" s="4">
        <v>10</v>
      </c>
      <c r="E129" s="4">
        <v>10</v>
      </c>
      <c r="F129" s="20">
        <v>11</v>
      </c>
      <c r="G129" s="4">
        <v>11</v>
      </c>
      <c r="H129" s="4">
        <v>12</v>
      </c>
      <c r="I129" s="4">
        <v>12</v>
      </c>
      <c r="J129" s="4">
        <v>13</v>
      </c>
      <c r="K129" s="4">
        <v>14</v>
      </c>
      <c r="L129" s="4">
        <v>17</v>
      </c>
      <c r="M129" s="4">
        <v>17</v>
      </c>
      <c r="N129" s="4">
        <v>17</v>
      </c>
      <c r="O129" s="4">
        <v>19</v>
      </c>
      <c r="P129" s="4">
        <v>21</v>
      </c>
      <c r="Q129" s="4">
        <v>22</v>
      </c>
      <c r="R129" s="4">
        <v>22</v>
      </c>
      <c r="S129" s="4">
        <v>22</v>
      </c>
      <c r="T129">
        <v>22</v>
      </c>
      <c r="U129">
        <v>23</v>
      </c>
      <c r="V129">
        <v>23</v>
      </c>
      <c r="W129">
        <v>25</v>
      </c>
      <c r="X129">
        <v>25</v>
      </c>
      <c r="Y129">
        <v>25</v>
      </c>
      <c r="Z129">
        <v>25</v>
      </c>
      <c r="AA129">
        <v>30</v>
      </c>
      <c r="AB129">
        <v>31</v>
      </c>
      <c r="AC129">
        <v>33</v>
      </c>
      <c r="AD129">
        <v>33</v>
      </c>
      <c r="AE129">
        <v>35</v>
      </c>
      <c r="AF129">
        <v>35</v>
      </c>
      <c r="AG129">
        <v>38</v>
      </c>
      <c r="AH129">
        <v>39</v>
      </c>
      <c r="AI129">
        <v>39</v>
      </c>
      <c r="AJ129">
        <v>41</v>
      </c>
      <c r="AK129">
        <v>42</v>
      </c>
      <c r="AL129">
        <v>42</v>
      </c>
    </row>
    <row r="130" spans="1:38" x14ac:dyDescent="0.2">
      <c r="A130" s="1" t="s">
        <v>128</v>
      </c>
      <c r="B130" s="4">
        <v>14</v>
      </c>
      <c r="C130" s="4">
        <v>15</v>
      </c>
      <c r="D130" s="4">
        <v>17</v>
      </c>
      <c r="E130" s="4">
        <v>17</v>
      </c>
      <c r="F130" s="20">
        <v>17</v>
      </c>
      <c r="G130" s="4">
        <v>17</v>
      </c>
      <c r="H130" s="4">
        <v>17</v>
      </c>
      <c r="I130" s="4">
        <v>17</v>
      </c>
      <c r="J130" s="4">
        <v>21</v>
      </c>
      <c r="K130" s="4">
        <v>24</v>
      </c>
      <c r="L130" s="4">
        <v>22</v>
      </c>
      <c r="M130" s="4">
        <v>22</v>
      </c>
      <c r="N130" s="4">
        <v>23</v>
      </c>
      <c r="O130" s="4">
        <v>22</v>
      </c>
      <c r="P130" s="4">
        <v>22</v>
      </c>
      <c r="Q130" s="4">
        <v>22</v>
      </c>
      <c r="R130" s="4">
        <v>22</v>
      </c>
      <c r="S130" s="4">
        <v>23</v>
      </c>
      <c r="T130">
        <v>23</v>
      </c>
      <c r="U130">
        <v>25</v>
      </c>
      <c r="V130">
        <v>26</v>
      </c>
      <c r="W130">
        <v>24</v>
      </c>
      <c r="X130">
        <v>25</v>
      </c>
      <c r="Y130">
        <v>25</v>
      </c>
      <c r="Z130">
        <v>25</v>
      </c>
      <c r="AA130">
        <v>24</v>
      </c>
      <c r="AB130">
        <v>23</v>
      </c>
      <c r="AC130">
        <v>23</v>
      </c>
      <c r="AD130">
        <v>23</v>
      </c>
      <c r="AE130">
        <v>23</v>
      </c>
      <c r="AF130">
        <v>23</v>
      </c>
      <c r="AG130">
        <v>23</v>
      </c>
      <c r="AH130">
        <v>21</v>
      </c>
      <c r="AI130">
        <v>21</v>
      </c>
      <c r="AJ130">
        <v>20</v>
      </c>
      <c r="AK130">
        <v>18</v>
      </c>
      <c r="AL130">
        <v>18</v>
      </c>
    </row>
    <row r="131" spans="1:38" x14ac:dyDescent="0.2">
      <c r="A131" s="4" t="s">
        <v>129</v>
      </c>
      <c r="B131" s="21" t="s">
        <v>139</v>
      </c>
      <c r="C131" s="21" t="s">
        <v>139</v>
      </c>
      <c r="D131" s="21" t="s">
        <v>139</v>
      </c>
      <c r="E131" s="21" t="s">
        <v>139</v>
      </c>
      <c r="F131" s="21" t="s">
        <v>139</v>
      </c>
      <c r="G131" s="9" t="s">
        <v>139</v>
      </c>
      <c r="H131" s="9" t="s">
        <v>139</v>
      </c>
      <c r="I131" s="9" t="s">
        <v>139</v>
      </c>
      <c r="J131" s="9" t="s">
        <v>139</v>
      </c>
      <c r="K131" s="9" t="s">
        <v>139</v>
      </c>
      <c r="L131" s="9" t="s">
        <v>139</v>
      </c>
      <c r="M131" s="9" t="s">
        <v>139</v>
      </c>
      <c r="N131" s="9" t="s">
        <v>139</v>
      </c>
      <c r="O131" s="9" t="s">
        <v>139</v>
      </c>
      <c r="P131" s="9" t="s">
        <v>139</v>
      </c>
      <c r="Q131" s="9" t="s">
        <v>139</v>
      </c>
      <c r="R131" s="9" t="s">
        <v>139</v>
      </c>
      <c r="S131" s="9" t="s">
        <v>139</v>
      </c>
      <c r="T131" t="s">
        <v>139</v>
      </c>
      <c r="U131" t="s">
        <v>139</v>
      </c>
      <c r="V131" t="s">
        <v>139</v>
      </c>
      <c r="W131" t="s">
        <v>139</v>
      </c>
      <c r="X131" t="s">
        <v>139</v>
      </c>
      <c r="Y131" t="s">
        <v>139</v>
      </c>
      <c r="Z131" t="s">
        <v>139</v>
      </c>
      <c r="AA131" t="s">
        <v>139</v>
      </c>
      <c r="AB131" t="s">
        <v>139</v>
      </c>
      <c r="AC131" t="s">
        <v>139</v>
      </c>
      <c r="AD131" t="s">
        <v>139</v>
      </c>
      <c r="AE131" t="s">
        <v>139</v>
      </c>
      <c r="AF131" t="s">
        <v>139</v>
      </c>
      <c r="AG131" t="s">
        <v>139</v>
      </c>
      <c r="AH131" t="s">
        <v>139</v>
      </c>
      <c r="AI131" t="s">
        <v>139</v>
      </c>
      <c r="AJ131" t="s">
        <v>139</v>
      </c>
      <c r="AK131" t="s">
        <v>139</v>
      </c>
      <c r="AL131" t="s">
        <v>139</v>
      </c>
    </row>
    <row r="132" spans="1:38" x14ac:dyDescent="0.2">
      <c r="A132" s="1" t="s">
        <v>130</v>
      </c>
      <c r="B132" s="4">
        <v>41</v>
      </c>
      <c r="C132" s="4">
        <v>40</v>
      </c>
      <c r="D132" s="4">
        <v>40</v>
      </c>
      <c r="E132" s="4">
        <v>39</v>
      </c>
      <c r="F132" s="20">
        <v>38</v>
      </c>
      <c r="G132" s="4">
        <v>38</v>
      </c>
      <c r="H132" s="4">
        <v>37</v>
      </c>
      <c r="I132" s="4">
        <v>37</v>
      </c>
      <c r="J132" s="4">
        <v>34</v>
      </c>
      <c r="K132" s="4">
        <v>31</v>
      </c>
      <c r="L132" s="4">
        <v>30</v>
      </c>
      <c r="M132" s="4">
        <v>30</v>
      </c>
      <c r="N132" s="4">
        <v>28</v>
      </c>
      <c r="O132" s="4">
        <v>28</v>
      </c>
      <c r="P132" s="4">
        <v>26</v>
      </c>
      <c r="Q132" s="4">
        <v>25</v>
      </c>
      <c r="R132" s="4">
        <v>25</v>
      </c>
      <c r="S132" s="4">
        <v>22</v>
      </c>
      <c r="T132">
        <v>22</v>
      </c>
      <c r="U132">
        <v>19</v>
      </c>
      <c r="V132">
        <v>18</v>
      </c>
      <c r="W132">
        <v>18</v>
      </c>
      <c r="X132">
        <v>17</v>
      </c>
      <c r="Y132">
        <v>17</v>
      </c>
      <c r="Z132">
        <v>17</v>
      </c>
      <c r="AA132">
        <v>10</v>
      </c>
      <c r="AB132">
        <v>10</v>
      </c>
      <c r="AC132">
        <v>8</v>
      </c>
      <c r="AD132">
        <v>8</v>
      </c>
      <c r="AE132">
        <v>6</v>
      </c>
      <c r="AF132">
        <v>5</v>
      </c>
      <c r="AG132">
        <v>2</v>
      </c>
      <c r="AH132">
        <v>2</v>
      </c>
      <c r="AI132">
        <v>2</v>
      </c>
      <c r="AJ132">
        <v>1</v>
      </c>
      <c r="AK132">
        <v>1</v>
      </c>
      <c r="AL132">
        <v>1</v>
      </c>
    </row>
    <row r="133" spans="1:38" x14ac:dyDescent="0.2">
      <c r="A133" s="4" t="s">
        <v>131</v>
      </c>
      <c r="B133" s="4">
        <v>1</v>
      </c>
      <c r="C133" s="4">
        <v>1</v>
      </c>
      <c r="D133" s="4">
        <v>2</v>
      </c>
      <c r="E133" s="4">
        <v>3</v>
      </c>
      <c r="F133" s="20">
        <v>3</v>
      </c>
      <c r="G133" s="4">
        <v>3</v>
      </c>
      <c r="H133" s="4">
        <v>3</v>
      </c>
      <c r="I133" s="4">
        <v>3</v>
      </c>
      <c r="J133" s="4">
        <v>3</v>
      </c>
      <c r="K133" s="4">
        <v>3</v>
      </c>
      <c r="L133" s="4">
        <v>3</v>
      </c>
      <c r="M133" s="4">
        <v>3</v>
      </c>
      <c r="N133" s="4">
        <v>4</v>
      </c>
      <c r="O133" s="4">
        <v>4</v>
      </c>
      <c r="P133" s="4">
        <v>4</v>
      </c>
      <c r="Q133" s="4">
        <v>4</v>
      </c>
      <c r="R133" s="4">
        <v>4</v>
      </c>
      <c r="S133" s="4">
        <v>4</v>
      </c>
      <c r="T133">
        <v>4</v>
      </c>
      <c r="U133">
        <v>4</v>
      </c>
      <c r="V133">
        <v>4</v>
      </c>
      <c r="W133">
        <v>4</v>
      </c>
      <c r="X133">
        <v>4</v>
      </c>
      <c r="Y133">
        <v>4</v>
      </c>
      <c r="Z133">
        <v>4</v>
      </c>
      <c r="AA133">
        <v>4</v>
      </c>
      <c r="AB133">
        <v>4</v>
      </c>
      <c r="AC133">
        <v>4</v>
      </c>
      <c r="AD133">
        <v>4</v>
      </c>
      <c r="AE133">
        <v>4</v>
      </c>
      <c r="AF133">
        <v>4</v>
      </c>
      <c r="AG133">
        <v>4</v>
      </c>
      <c r="AH133">
        <v>4</v>
      </c>
      <c r="AI133">
        <v>4</v>
      </c>
      <c r="AJ133">
        <v>4</v>
      </c>
      <c r="AK133">
        <v>4</v>
      </c>
      <c r="AL133">
        <v>4</v>
      </c>
    </row>
    <row r="134" spans="1:38" x14ac:dyDescent="0.2">
      <c r="A134" s="4" t="s">
        <v>132</v>
      </c>
      <c r="B134" s="4" t="s">
        <v>139</v>
      </c>
      <c r="C134" s="4" t="s">
        <v>139</v>
      </c>
      <c r="D134" s="4" t="s">
        <v>139</v>
      </c>
      <c r="E134" s="4" t="s">
        <v>139</v>
      </c>
      <c r="F134" s="20" t="s">
        <v>139</v>
      </c>
      <c r="G134" s="4" t="s">
        <v>139</v>
      </c>
      <c r="H134" s="4" t="s">
        <v>139</v>
      </c>
      <c r="I134" s="4" t="s">
        <v>139</v>
      </c>
      <c r="J134" s="4" t="s">
        <v>139</v>
      </c>
      <c r="K134" s="4" t="s">
        <v>139</v>
      </c>
      <c r="L134" s="4" t="s">
        <v>139</v>
      </c>
      <c r="M134" s="4" t="s">
        <v>139</v>
      </c>
      <c r="N134" s="4" t="s">
        <v>139</v>
      </c>
      <c r="O134" s="4" t="s">
        <v>139</v>
      </c>
      <c r="P134" s="4" t="s">
        <v>139</v>
      </c>
      <c r="Q134" s="4" t="s">
        <v>139</v>
      </c>
      <c r="R134" s="4" t="s">
        <v>139</v>
      </c>
      <c r="S134" s="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3</v>
      </c>
      <c r="AB134">
        <v>3</v>
      </c>
      <c r="AC134">
        <v>3</v>
      </c>
      <c r="AD134">
        <v>3</v>
      </c>
      <c r="AE134">
        <v>3</v>
      </c>
      <c r="AF134">
        <v>3</v>
      </c>
      <c r="AG134">
        <v>3</v>
      </c>
      <c r="AH134">
        <v>3</v>
      </c>
      <c r="AI134">
        <v>3</v>
      </c>
      <c r="AJ134">
        <v>3</v>
      </c>
      <c r="AK134">
        <v>3</v>
      </c>
      <c r="AL134">
        <v>3</v>
      </c>
    </row>
    <row r="135" spans="1:38" x14ac:dyDescent="0.2">
      <c r="A135" s="4" t="s">
        <v>133</v>
      </c>
      <c r="B135" s="4" t="s">
        <v>139</v>
      </c>
      <c r="C135" s="4" t="s">
        <v>139</v>
      </c>
      <c r="D135" s="4" t="s">
        <v>139</v>
      </c>
      <c r="E135" s="4" t="s">
        <v>139</v>
      </c>
      <c r="F135" s="20" t="s">
        <v>139</v>
      </c>
      <c r="G135" s="4" t="s">
        <v>139</v>
      </c>
      <c r="H135" s="4" t="s">
        <v>139</v>
      </c>
      <c r="I135" s="4" t="s">
        <v>139</v>
      </c>
      <c r="J135" s="4" t="s">
        <v>139</v>
      </c>
      <c r="K135" s="4" t="s">
        <v>139</v>
      </c>
      <c r="L135" s="4" t="s">
        <v>139</v>
      </c>
      <c r="M135" s="4" t="s">
        <v>139</v>
      </c>
      <c r="N135" s="4" t="s">
        <v>139</v>
      </c>
      <c r="O135" s="4" t="s">
        <v>139</v>
      </c>
      <c r="P135" s="4" t="s">
        <v>139</v>
      </c>
      <c r="Q135" s="4" t="s">
        <v>139</v>
      </c>
      <c r="R135" s="4" t="s">
        <v>139</v>
      </c>
      <c r="S135" s="4" t="s">
        <v>139</v>
      </c>
      <c r="T135" t="s">
        <v>139</v>
      </c>
      <c r="U135" t="s">
        <v>139</v>
      </c>
      <c r="V135" t="s">
        <v>139</v>
      </c>
      <c r="W135" t="s">
        <v>139</v>
      </c>
      <c r="X135" t="s">
        <v>139</v>
      </c>
      <c r="Y135" t="s">
        <v>139</v>
      </c>
      <c r="Z135" t="s">
        <v>139</v>
      </c>
      <c r="AA135" t="s">
        <v>139</v>
      </c>
      <c r="AB135" t="s">
        <v>139</v>
      </c>
      <c r="AC135" t="s">
        <v>139</v>
      </c>
      <c r="AD135" t="s">
        <v>139</v>
      </c>
      <c r="AE135" t="s">
        <v>139</v>
      </c>
      <c r="AF135" t="s">
        <v>139</v>
      </c>
      <c r="AG135" t="s">
        <v>139</v>
      </c>
      <c r="AH135" t="s">
        <v>139</v>
      </c>
      <c r="AI135" t="s">
        <v>139</v>
      </c>
      <c r="AJ135" t="s">
        <v>139</v>
      </c>
      <c r="AK135" t="s">
        <v>139</v>
      </c>
      <c r="AL135" t="s">
        <v>139</v>
      </c>
    </row>
    <row r="136" spans="1:38" x14ac:dyDescent="0.2">
      <c r="A136" s="4" t="s">
        <v>135</v>
      </c>
      <c r="B136" s="4" t="s">
        <v>139</v>
      </c>
      <c r="C136" s="4" t="s">
        <v>139</v>
      </c>
      <c r="D136" s="4" t="s">
        <v>139</v>
      </c>
      <c r="E136" s="4" t="s">
        <v>139</v>
      </c>
      <c r="F136" s="21" t="s">
        <v>139</v>
      </c>
      <c r="G136" s="9" t="s">
        <v>139</v>
      </c>
      <c r="H136" s="9" t="s">
        <v>139</v>
      </c>
      <c r="I136" s="9" t="s">
        <v>139</v>
      </c>
      <c r="J136" s="9" t="s">
        <v>139</v>
      </c>
      <c r="K136" s="9" t="s">
        <v>139</v>
      </c>
      <c r="L136" s="9" t="s">
        <v>139</v>
      </c>
      <c r="M136" s="9" t="s">
        <v>139</v>
      </c>
      <c r="N136" s="9" t="s">
        <v>139</v>
      </c>
      <c r="O136" s="9" t="s">
        <v>139</v>
      </c>
      <c r="P136" s="9" t="s">
        <v>139</v>
      </c>
      <c r="Q136" s="9" t="s">
        <v>139</v>
      </c>
      <c r="R136" s="9" t="s">
        <v>139</v>
      </c>
      <c r="S136" s="9" t="s">
        <v>139</v>
      </c>
      <c r="T136" t="s">
        <v>139</v>
      </c>
      <c r="U136" t="s">
        <v>139</v>
      </c>
      <c r="V136" t="s">
        <v>139</v>
      </c>
      <c r="W136" t="s">
        <v>139</v>
      </c>
      <c r="X136" t="s">
        <v>139</v>
      </c>
      <c r="Y136" t="s">
        <v>139</v>
      </c>
      <c r="Z136" t="s">
        <v>139</v>
      </c>
      <c r="AA136" t="s">
        <v>139</v>
      </c>
      <c r="AB136" t="s">
        <v>139</v>
      </c>
      <c r="AC136" t="s">
        <v>139</v>
      </c>
      <c r="AD136" t="s">
        <v>139</v>
      </c>
      <c r="AE136" t="s">
        <v>139</v>
      </c>
      <c r="AF136" t="s">
        <v>139</v>
      </c>
      <c r="AG136" t="s">
        <v>139</v>
      </c>
      <c r="AH136" t="s">
        <v>139</v>
      </c>
      <c r="AI136" t="s">
        <v>139</v>
      </c>
      <c r="AJ136" t="s">
        <v>139</v>
      </c>
      <c r="AK136" t="s">
        <v>139</v>
      </c>
      <c r="AL136" t="s">
        <v>139</v>
      </c>
    </row>
    <row r="137" spans="1:38" x14ac:dyDescent="0.2">
      <c r="A137" s="4" t="s">
        <v>136</v>
      </c>
      <c r="B137" s="21" t="s">
        <v>139</v>
      </c>
      <c r="C137" s="21" t="s">
        <v>139</v>
      </c>
      <c r="D137" s="21" t="s">
        <v>139</v>
      </c>
      <c r="E137" s="21" t="s">
        <v>139</v>
      </c>
      <c r="F137" s="21" t="s">
        <v>139</v>
      </c>
      <c r="G137" s="9" t="s">
        <v>139</v>
      </c>
      <c r="H137" s="9" t="s">
        <v>139</v>
      </c>
      <c r="I137" s="9" t="s">
        <v>139</v>
      </c>
      <c r="J137" s="9" t="s">
        <v>139</v>
      </c>
      <c r="K137" s="9" t="s">
        <v>139</v>
      </c>
      <c r="L137" s="9" t="s">
        <v>139</v>
      </c>
      <c r="M137" s="9" t="s">
        <v>139</v>
      </c>
      <c r="N137" s="9" t="s">
        <v>139</v>
      </c>
      <c r="O137" s="9" t="s">
        <v>139</v>
      </c>
      <c r="P137" s="9" t="s">
        <v>139</v>
      </c>
      <c r="Q137" s="9" t="s">
        <v>139</v>
      </c>
      <c r="R137" s="9" t="s">
        <v>139</v>
      </c>
      <c r="S137" s="9" t="s">
        <v>139</v>
      </c>
      <c r="T137" t="s">
        <v>139</v>
      </c>
      <c r="U137" t="s">
        <v>139</v>
      </c>
      <c r="V137" t="s">
        <v>139</v>
      </c>
      <c r="W137" t="s">
        <v>139</v>
      </c>
      <c r="X137" t="s">
        <v>139</v>
      </c>
      <c r="Y137" t="s">
        <v>139</v>
      </c>
      <c r="Z137" t="s">
        <v>139</v>
      </c>
      <c r="AA137" t="s">
        <v>139</v>
      </c>
      <c r="AB137" t="s">
        <v>139</v>
      </c>
      <c r="AC137" t="s">
        <v>139</v>
      </c>
      <c r="AD137" t="s">
        <v>139</v>
      </c>
      <c r="AE137" t="s">
        <v>139</v>
      </c>
      <c r="AF137" t="s">
        <v>139</v>
      </c>
      <c r="AG137" t="s">
        <v>139</v>
      </c>
      <c r="AH137" t="s">
        <v>139</v>
      </c>
      <c r="AI137" t="s">
        <v>139</v>
      </c>
      <c r="AJ137" t="s">
        <v>139</v>
      </c>
      <c r="AK137" t="s">
        <v>139</v>
      </c>
      <c r="AL137" t="s">
        <v>139</v>
      </c>
    </row>
    <row r="138" spans="1:38" x14ac:dyDescent="0.2">
      <c r="A138" s="4" t="s">
        <v>134</v>
      </c>
      <c r="B138" s="21">
        <v>1</v>
      </c>
      <c r="C138" s="21">
        <v>1</v>
      </c>
      <c r="D138" s="21">
        <v>1</v>
      </c>
      <c r="E138" s="21">
        <v>1</v>
      </c>
      <c r="F138" s="21">
        <v>1</v>
      </c>
      <c r="G138" s="22">
        <v>1</v>
      </c>
      <c r="H138" s="22">
        <v>1</v>
      </c>
      <c r="I138" s="22">
        <v>1</v>
      </c>
      <c r="J138" s="22">
        <v>1</v>
      </c>
      <c r="K138" s="22">
        <v>1</v>
      </c>
      <c r="L138" s="22">
        <v>1</v>
      </c>
      <c r="M138" s="22">
        <v>1</v>
      </c>
      <c r="N138" s="22">
        <v>1</v>
      </c>
      <c r="O138" s="22">
        <v>1</v>
      </c>
      <c r="P138" s="23">
        <v>1</v>
      </c>
      <c r="Q138" s="9">
        <v>1</v>
      </c>
      <c r="R138" s="9">
        <v>1</v>
      </c>
      <c r="S138" s="9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2</v>
      </c>
      <c r="AI138">
        <v>2</v>
      </c>
      <c r="AJ138">
        <v>2</v>
      </c>
      <c r="AK138">
        <v>2</v>
      </c>
      <c r="AL138">
        <v>2</v>
      </c>
    </row>
    <row r="139" spans="1:38" x14ac:dyDescent="0.2">
      <c r="A139" s="7" t="s">
        <v>137</v>
      </c>
      <c r="B139" s="8">
        <v>70</v>
      </c>
      <c r="C139" s="8">
        <v>69</v>
      </c>
      <c r="D139" s="8">
        <v>70</v>
      </c>
      <c r="E139" s="8">
        <v>70</v>
      </c>
      <c r="F139" s="8">
        <v>70</v>
      </c>
      <c r="G139" s="9">
        <v>70</v>
      </c>
      <c r="H139" s="4">
        <v>70</v>
      </c>
      <c r="I139" s="4">
        <v>70</v>
      </c>
      <c r="J139" s="4">
        <v>72</v>
      </c>
      <c r="K139" s="4">
        <v>73</v>
      </c>
      <c r="L139" s="4">
        <v>73</v>
      </c>
      <c r="M139" s="4">
        <v>73</v>
      </c>
      <c r="N139" s="4">
        <v>73</v>
      </c>
      <c r="O139" s="4">
        <v>74</v>
      </c>
      <c r="P139" s="4">
        <v>74</v>
      </c>
      <c r="Q139" s="4">
        <v>74</v>
      </c>
      <c r="R139" s="4">
        <v>74</v>
      </c>
      <c r="S139" s="4">
        <v>73</v>
      </c>
      <c r="T139">
        <v>73</v>
      </c>
      <c r="U139">
        <v>73</v>
      </c>
      <c r="V139">
        <v>73</v>
      </c>
      <c r="W139">
        <v>73</v>
      </c>
      <c r="X139">
        <v>73</v>
      </c>
      <c r="Y139">
        <v>73</v>
      </c>
      <c r="Z139">
        <v>73</v>
      </c>
      <c r="AA139">
        <v>72</v>
      </c>
      <c r="AB139">
        <v>72</v>
      </c>
      <c r="AC139">
        <v>72</v>
      </c>
      <c r="AD139">
        <v>72</v>
      </c>
      <c r="AE139">
        <v>72</v>
      </c>
      <c r="AF139">
        <v>71</v>
      </c>
      <c r="AG139">
        <v>71</v>
      </c>
      <c r="AH139">
        <v>71</v>
      </c>
      <c r="AI139">
        <v>71</v>
      </c>
      <c r="AJ139">
        <v>71</v>
      </c>
      <c r="AK139">
        <v>70</v>
      </c>
      <c r="AL139">
        <v>70</v>
      </c>
    </row>
    <row r="141" spans="1:38" ht="22" x14ac:dyDescent="0.3">
      <c r="A141" s="54" t="s">
        <v>145</v>
      </c>
    </row>
    <row r="142" spans="1:38" x14ac:dyDescent="0.2">
      <c r="A142" s="12" t="s">
        <v>101</v>
      </c>
      <c r="B142" s="13" t="s">
        <v>102</v>
      </c>
      <c r="C142" s="13" t="s">
        <v>103</v>
      </c>
      <c r="D142" s="13" t="s">
        <v>104</v>
      </c>
      <c r="E142" s="13" t="s">
        <v>105</v>
      </c>
      <c r="F142" s="13" t="s">
        <v>106</v>
      </c>
      <c r="G142" s="13" t="s">
        <v>107</v>
      </c>
      <c r="H142" s="13" t="s">
        <v>108</v>
      </c>
      <c r="I142" s="13" t="s">
        <v>109</v>
      </c>
      <c r="J142" s="13" t="s">
        <v>110</v>
      </c>
      <c r="K142" s="13" t="s">
        <v>111</v>
      </c>
      <c r="L142" s="13" t="s">
        <v>112</v>
      </c>
      <c r="M142" s="13" t="s">
        <v>113</v>
      </c>
      <c r="N142" s="13" t="s">
        <v>114</v>
      </c>
      <c r="O142" s="13" t="s">
        <v>115</v>
      </c>
      <c r="P142" s="13" t="s">
        <v>116</v>
      </c>
      <c r="Q142" s="13" t="s">
        <v>117</v>
      </c>
      <c r="R142" s="13" t="s">
        <v>118</v>
      </c>
      <c r="S142" s="13" t="s">
        <v>119</v>
      </c>
      <c r="T142" s="13" t="s">
        <v>120</v>
      </c>
      <c r="U142" s="13" t="s">
        <v>121</v>
      </c>
      <c r="V142" s="13" t="s">
        <v>122</v>
      </c>
      <c r="W142" s="13" t="s">
        <v>123</v>
      </c>
      <c r="X142" s="13" t="s">
        <v>124</v>
      </c>
      <c r="Y142" s="13" t="s">
        <v>125</v>
      </c>
      <c r="Z142" s="13" t="s">
        <v>205</v>
      </c>
      <c r="AA142" s="13" t="s">
        <v>206</v>
      </c>
      <c r="AB142" s="13" t="s">
        <v>207</v>
      </c>
      <c r="AC142" s="13" t="s">
        <v>208</v>
      </c>
      <c r="AD142" s="80" t="s">
        <v>210</v>
      </c>
      <c r="AE142" s="84" t="s">
        <v>211</v>
      </c>
      <c r="AF142" s="80" t="s">
        <v>212</v>
      </c>
      <c r="AG142" s="88" t="s">
        <v>213</v>
      </c>
      <c r="AH142" s="88" t="s">
        <v>214</v>
      </c>
      <c r="AI142" s="88" t="s">
        <v>215</v>
      </c>
      <c r="AJ142" s="88" t="s">
        <v>216</v>
      </c>
      <c r="AK142" s="88" t="s">
        <v>217</v>
      </c>
      <c r="AL142" s="88" t="s">
        <v>218</v>
      </c>
    </row>
    <row r="143" spans="1:38" x14ac:dyDescent="0.2">
      <c r="A143" s="1" t="s">
        <v>10</v>
      </c>
      <c r="B143" s="2">
        <v>0.1925</v>
      </c>
      <c r="C143" s="2">
        <v>0.1938</v>
      </c>
      <c r="D143" s="2">
        <v>0.2</v>
      </c>
      <c r="E143" s="25">
        <v>0.22639999999999999</v>
      </c>
      <c r="F143" s="25">
        <v>0.25</v>
      </c>
      <c r="G143" s="3">
        <v>0.26</v>
      </c>
      <c r="H143" s="2">
        <v>0.27700000000000002</v>
      </c>
      <c r="I143" s="2">
        <v>0.30070000000000002</v>
      </c>
      <c r="J143" s="2">
        <v>0.32140000000000002</v>
      </c>
      <c r="K143" s="2">
        <v>0.33100000000000002</v>
      </c>
      <c r="L143" s="2">
        <v>0.3357</v>
      </c>
      <c r="M143" s="2">
        <v>0.33800000000000002</v>
      </c>
      <c r="N143" s="2">
        <v>0.34510000000000002</v>
      </c>
      <c r="O143" s="2">
        <v>0.35420000000000001</v>
      </c>
      <c r="P143" s="2">
        <v>0.38729999999999998</v>
      </c>
      <c r="Q143" s="2">
        <v>0.38300000000000001</v>
      </c>
      <c r="R143" s="2">
        <v>0.4234</v>
      </c>
      <c r="S143" s="2">
        <v>0.44529999999999997</v>
      </c>
      <c r="T143" s="78">
        <v>0.47449999999999998</v>
      </c>
      <c r="U143" s="78">
        <v>0.47060000000000002</v>
      </c>
      <c r="V143" s="78">
        <v>0.54330000000000001</v>
      </c>
      <c r="W143" s="78">
        <v>0.58730000000000004</v>
      </c>
      <c r="X143" s="78">
        <v>0.58730000000000004</v>
      </c>
      <c r="Y143" s="78">
        <v>0.61480000000000001</v>
      </c>
      <c r="Z143" s="78">
        <v>0.63029999999999997</v>
      </c>
      <c r="AA143" s="78">
        <v>0.63870000000000005</v>
      </c>
      <c r="AB143" s="78">
        <v>0.6371</v>
      </c>
      <c r="AC143" s="78">
        <v>0.68330000000000002</v>
      </c>
      <c r="AD143" s="78">
        <v>0.69750000000000001</v>
      </c>
      <c r="AE143" s="85">
        <v>0.71930000000000005</v>
      </c>
      <c r="AF143" s="85">
        <v>0.7256999999999999</v>
      </c>
      <c r="AG143" s="85">
        <v>0.74340000000000006</v>
      </c>
      <c r="AH143" s="85">
        <v>0.79819999999999991</v>
      </c>
      <c r="AI143" s="85">
        <v>0.80730000000000002</v>
      </c>
      <c r="AJ143" s="85">
        <v>0.80730000000000002</v>
      </c>
      <c r="AK143" s="94">
        <v>0.80730000000000002</v>
      </c>
      <c r="AL143" s="85">
        <v>0.84109999999999996</v>
      </c>
    </row>
    <row r="145" spans="1:38" x14ac:dyDescent="0.2">
      <c r="A145" s="12" t="s">
        <v>126</v>
      </c>
      <c r="B145" s="13" t="s">
        <v>102</v>
      </c>
      <c r="C145" s="13" t="s">
        <v>103</v>
      </c>
      <c r="D145" s="13" t="s">
        <v>104</v>
      </c>
      <c r="E145" s="13" t="s">
        <v>105</v>
      </c>
      <c r="F145" s="13" t="s">
        <v>106</v>
      </c>
      <c r="G145" s="13" t="s">
        <v>107</v>
      </c>
      <c r="H145" s="13" t="s">
        <v>108</v>
      </c>
      <c r="I145" s="13" t="s">
        <v>109</v>
      </c>
      <c r="J145" s="13" t="s">
        <v>110</v>
      </c>
      <c r="K145" s="13" t="s">
        <v>111</v>
      </c>
      <c r="L145" s="13" t="s">
        <v>112</v>
      </c>
      <c r="M145" s="13" t="s">
        <v>113</v>
      </c>
      <c r="N145" s="13" t="s">
        <v>114</v>
      </c>
      <c r="O145" s="13" t="s">
        <v>115</v>
      </c>
      <c r="P145" s="13" t="s">
        <v>116</v>
      </c>
      <c r="Q145" s="13" t="s">
        <v>117</v>
      </c>
      <c r="R145" s="13" t="s">
        <v>118</v>
      </c>
      <c r="S145" s="13" t="s">
        <v>119</v>
      </c>
      <c r="T145" s="13" t="s">
        <v>120</v>
      </c>
      <c r="U145" s="13" t="s">
        <v>121</v>
      </c>
      <c r="V145" s="13" t="s">
        <v>122</v>
      </c>
      <c r="W145" s="13" t="s">
        <v>123</v>
      </c>
      <c r="X145" s="13" t="s">
        <v>124</v>
      </c>
      <c r="Y145" s="13" t="s">
        <v>125</v>
      </c>
      <c r="Z145" s="13" t="s">
        <v>205</v>
      </c>
      <c r="AA145" s="13" t="s">
        <v>206</v>
      </c>
      <c r="AB145" s="13" t="s">
        <v>207</v>
      </c>
      <c r="AC145" s="13" t="s">
        <v>208</v>
      </c>
      <c r="AD145" s="80" t="s">
        <v>210</v>
      </c>
      <c r="AE145" s="80" t="s">
        <v>211</v>
      </c>
      <c r="AF145" s="80" t="s">
        <v>212</v>
      </c>
      <c r="AG145" s="88" t="s">
        <v>213</v>
      </c>
      <c r="AH145" s="88" t="s">
        <v>214</v>
      </c>
      <c r="AI145" s="88" t="s">
        <v>215</v>
      </c>
      <c r="AJ145" s="88" t="s">
        <v>216</v>
      </c>
      <c r="AK145" s="88" t="s">
        <v>217</v>
      </c>
      <c r="AL145" s="88" t="s">
        <v>218</v>
      </c>
    </row>
    <row r="146" spans="1:38" x14ac:dyDescent="0.2">
      <c r="A146" s="1" t="s">
        <v>127</v>
      </c>
      <c r="B146" s="4">
        <v>31</v>
      </c>
      <c r="C146" s="4">
        <v>31</v>
      </c>
      <c r="D146" s="4">
        <v>32</v>
      </c>
      <c r="E146" s="4">
        <v>36</v>
      </c>
      <c r="F146" s="20">
        <v>38</v>
      </c>
      <c r="G146" s="4">
        <v>39</v>
      </c>
      <c r="H146" s="4">
        <v>41</v>
      </c>
      <c r="I146" s="4">
        <v>43</v>
      </c>
      <c r="J146" s="4">
        <v>45</v>
      </c>
      <c r="K146" s="4">
        <v>47</v>
      </c>
      <c r="L146" s="4">
        <v>48</v>
      </c>
      <c r="M146" s="4">
        <v>48</v>
      </c>
      <c r="N146" s="4">
        <v>49</v>
      </c>
      <c r="O146" s="4">
        <v>51</v>
      </c>
      <c r="P146" s="4">
        <v>55</v>
      </c>
      <c r="Q146" s="4">
        <v>54</v>
      </c>
      <c r="R146" s="4">
        <v>58</v>
      </c>
      <c r="S146" s="4">
        <v>61</v>
      </c>
      <c r="T146">
        <v>65</v>
      </c>
      <c r="U146">
        <v>64</v>
      </c>
      <c r="V146">
        <v>69</v>
      </c>
      <c r="W146">
        <v>74</v>
      </c>
      <c r="X146">
        <v>74</v>
      </c>
      <c r="Y146">
        <v>75</v>
      </c>
      <c r="Z146">
        <v>75</v>
      </c>
      <c r="AA146">
        <v>76</v>
      </c>
      <c r="AB146">
        <v>79</v>
      </c>
      <c r="AC146">
        <v>82</v>
      </c>
      <c r="AD146">
        <v>83</v>
      </c>
      <c r="AE146">
        <v>82</v>
      </c>
      <c r="AF146">
        <v>82</v>
      </c>
      <c r="AG146">
        <v>84</v>
      </c>
      <c r="AH146">
        <v>87</v>
      </c>
      <c r="AI146">
        <v>88</v>
      </c>
      <c r="AJ146">
        <v>88</v>
      </c>
      <c r="AK146">
        <v>88</v>
      </c>
      <c r="AL146">
        <v>90</v>
      </c>
    </row>
    <row r="147" spans="1:38" x14ac:dyDescent="0.2">
      <c r="A147" s="1" t="s">
        <v>128</v>
      </c>
      <c r="B147" s="4">
        <v>108</v>
      </c>
      <c r="C147" s="4">
        <v>108</v>
      </c>
      <c r="D147" s="4">
        <v>107</v>
      </c>
      <c r="E147" s="4">
        <v>105</v>
      </c>
      <c r="F147" s="20">
        <v>100</v>
      </c>
      <c r="G147" s="4">
        <v>100</v>
      </c>
      <c r="H147" s="4">
        <v>97</v>
      </c>
      <c r="I147" s="4">
        <v>95</v>
      </c>
      <c r="J147" s="4">
        <v>91</v>
      </c>
      <c r="K147" s="4">
        <v>88</v>
      </c>
      <c r="L147" s="4">
        <v>88</v>
      </c>
      <c r="M147" s="4">
        <v>87</v>
      </c>
      <c r="N147" s="4">
        <v>86</v>
      </c>
      <c r="O147" s="4">
        <v>88</v>
      </c>
      <c r="P147" s="4">
        <v>86</v>
      </c>
      <c r="Q147" s="4">
        <v>86</v>
      </c>
      <c r="R147" s="4">
        <v>78</v>
      </c>
      <c r="S147" s="4">
        <v>75</v>
      </c>
      <c r="T147">
        <v>71</v>
      </c>
      <c r="U147">
        <v>71</v>
      </c>
      <c r="V147">
        <v>58</v>
      </c>
      <c r="W147">
        <v>52</v>
      </c>
      <c r="X147">
        <v>52</v>
      </c>
      <c r="Y147">
        <v>47</v>
      </c>
      <c r="Z147">
        <v>44</v>
      </c>
      <c r="AA147">
        <v>43</v>
      </c>
      <c r="AB147">
        <v>45</v>
      </c>
      <c r="AC147">
        <v>38</v>
      </c>
      <c r="AD147">
        <v>36</v>
      </c>
      <c r="AE147">
        <v>32</v>
      </c>
      <c r="AF147">
        <v>31</v>
      </c>
      <c r="AG147">
        <v>29</v>
      </c>
      <c r="AH147">
        <v>22</v>
      </c>
      <c r="AI147">
        <v>21</v>
      </c>
      <c r="AJ147">
        <v>21</v>
      </c>
      <c r="AK147">
        <v>21</v>
      </c>
      <c r="AL147">
        <v>17</v>
      </c>
    </row>
    <row r="148" spans="1:38" x14ac:dyDescent="0.2">
      <c r="A148" s="4" t="s">
        <v>129</v>
      </c>
      <c r="B148" s="21" t="s">
        <v>139</v>
      </c>
      <c r="C148" s="21" t="s">
        <v>139</v>
      </c>
      <c r="D148" s="21" t="s">
        <v>139</v>
      </c>
      <c r="E148" s="21" t="s">
        <v>139</v>
      </c>
      <c r="F148" s="21" t="s">
        <v>139</v>
      </c>
      <c r="G148" s="9" t="s">
        <v>139</v>
      </c>
      <c r="H148" s="9" t="s">
        <v>139</v>
      </c>
      <c r="I148" s="9" t="s">
        <v>139</v>
      </c>
      <c r="J148" s="9" t="s">
        <v>139</v>
      </c>
      <c r="K148" s="9" t="s">
        <v>139</v>
      </c>
      <c r="L148" s="9" t="s">
        <v>139</v>
      </c>
      <c r="M148" s="9" t="s">
        <v>139</v>
      </c>
      <c r="N148" s="9" t="s">
        <v>139</v>
      </c>
      <c r="O148" s="9" t="s">
        <v>139</v>
      </c>
      <c r="P148" s="9" t="s">
        <v>139</v>
      </c>
      <c r="Q148" s="9" t="s">
        <v>139</v>
      </c>
      <c r="R148" s="9" t="s">
        <v>139</v>
      </c>
      <c r="S148" s="9" t="s">
        <v>139</v>
      </c>
      <c r="T148" t="s">
        <v>139</v>
      </c>
      <c r="U148" t="s">
        <v>139</v>
      </c>
      <c r="V148" t="s">
        <v>139</v>
      </c>
      <c r="W148" t="s">
        <v>139</v>
      </c>
      <c r="X148" t="s">
        <v>139</v>
      </c>
      <c r="Y148" t="s">
        <v>139</v>
      </c>
      <c r="Z148" t="s">
        <v>139</v>
      </c>
      <c r="AA148" t="s">
        <v>139</v>
      </c>
      <c r="AB148" t="s">
        <v>139</v>
      </c>
      <c r="AC148" t="s">
        <v>139</v>
      </c>
      <c r="AD148" t="s">
        <v>139</v>
      </c>
      <c r="AE148" t="s">
        <v>139</v>
      </c>
      <c r="AF148" t="s">
        <v>139</v>
      </c>
      <c r="AG148" t="s">
        <v>139</v>
      </c>
      <c r="AH148" t="s">
        <v>139</v>
      </c>
      <c r="AI148" t="s">
        <v>139</v>
      </c>
      <c r="AJ148" t="s">
        <v>139</v>
      </c>
      <c r="AK148" t="s">
        <v>139</v>
      </c>
      <c r="AL148" t="s">
        <v>139</v>
      </c>
    </row>
    <row r="149" spans="1:38" x14ac:dyDescent="0.2">
      <c r="A149" s="1" t="s">
        <v>130</v>
      </c>
      <c r="B149" s="4">
        <v>22</v>
      </c>
      <c r="C149" s="4">
        <v>21</v>
      </c>
      <c r="D149" s="4">
        <v>21</v>
      </c>
      <c r="E149" s="4">
        <v>18</v>
      </c>
      <c r="F149" s="20">
        <v>14</v>
      </c>
      <c r="G149" s="4">
        <v>11</v>
      </c>
      <c r="H149" s="4">
        <v>10</v>
      </c>
      <c r="I149" s="4">
        <v>5</v>
      </c>
      <c r="J149" s="4">
        <v>4</v>
      </c>
      <c r="K149" s="4">
        <v>7</v>
      </c>
      <c r="L149" s="4">
        <v>7</v>
      </c>
      <c r="M149" s="4">
        <v>7</v>
      </c>
      <c r="N149" s="4">
        <v>7</v>
      </c>
      <c r="O149" s="4">
        <v>5</v>
      </c>
      <c r="P149" s="4">
        <v>1</v>
      </c>
      <c r="Q149" s="4">
        <v>1</v>
      </c>
      <c r="R149" s="4">
        <v>1</v>
      </c>
      <c r="S149" s="4">
        <v>1</v>
      </c>
      <c r="T149">
        <v>1</v>
      </c>
      <c r="U149">
        <v>1</v>
      </c>
      <c r="V149" t="s">
        <v>139</v>
      </c>
      <c r="W149" t="s">
        <v>139</v>
      </c>
      <c r="X149" t="s">
        <v>139</v>
      </c>
      <c r="Y149" t="s">
        <v>139</v>
      </c>
      <c r="Z149" t="s">
        <v>139</v>
      </c>
      <c r="AA149" t="s">
        <v>139</v>
      </c>
      <c r="AB149" t="s">
        <v>139</v>
      </c>
      <c r="AC149" t="s">
        <v>139</v>
      </c>
      <c r="AD149" t="s">
        <v>139</v>
      </c>
      <c r="AE149" t="s">
        <v>139</v>
      </c>
      <c r="AF149" t="s">
        <v>139</v>
      </c>
      <c r="AG149" t="s">
        <v>139</v>
      </c>
      <c r="AH149" t="s">
        <v>139</v>
      </c>
      <c r="AI149" t="s">
        <v>139</v>
      </c>
      <c r="AJ149" t="s">
        <v>139</v>
      </c>
      <c r="AK149" t="s">
        <v>139</v>
      </c>
      <c r="AL149" t="s">
        <v>139</v>
      </c>
    </row>
    <row r="150" spans="1:38" x14ac:dyDescent="0.2">
      <c r="A150" s="4" t="s">
        <v>131</v>
      </c>
      <c r="B150" s="4">
        <v>10</v>
      </c>
      <c r="C150" s="4">
        <v>10</v>
      </c>
      <c r="D150" s="4">
        <v>10</v>
      </c>
      <c r="E150" s="4">
        <v>11</v>
      </c>
      <c r="F150" s="20">
        <v>13</v>
      </c>
      <c r="G150" s="4">
        <v>14</v>
      </c>
      <c r="H150" s="4">
        <v>15</v>
      </c>
      <c r="I150" s="4">
        <v>15</v>
      </c>
      <c r="J150" s="4">
        <v>16</v>
      </c>
      <c r="K150" s="4">
        <v>18</v>
      </c>
      <c r="L150" s="4">
        <v>17</v>
      </c>
      <c r="M150" s="4">
        <v>17</v>
      </c>
      <c r="N150" s="4">
        <v>17</v>
      </c>
      <c r="O150" s="4">
        <v>16</v>
      </c>
      <c r="P150" s="4">
        <v>17</v>
      </c>
      <c r="Q150" s="4">
        <v>18</v>
      </c>
      <c r="R150" s="4">
        <v>18</v>
      </c>
      <c r="S150" s="4">
        <v>18</v>
      </c>
      <c r="T150">
        <v>18</v>
      </c>
      <c r="U150">
        <v>18</v>
      </c>
      <c r="V150">
        <v>21</v>
      </c>
      <c r="W150">
        <v>21</v>
      </c>
      <c r="X150">
        <v>21</v>
      </c>
      <c r="Y150">
        <v>21</v>
      </c>
      <c r="Z150">
        <v>21</v>
      </c>
      <c r="AA150">
        <v>21</v>
      </c>
      <c r="AB150">
        <v>21</v>
      </c>
      <c r="AC150">
        <v>20</v>
      </c>
      <c r="AD150">
        <v>21</v>
      </c>
      <c r="AE150">
        <v>21</v>
      </c>
      <c r="AF150">
        <v>21</v>
      </c>
      <c r="AG150">
        <v>21</v>
      </c>
      <c r="AH150">
        <v>22</v>
      </c>
      <c r="AI150">
        <v>22</v>
      </c>
      <c r="AJ150">
        <v>22</v>
      </c>
      <c r="AK150">
        <v>22</v>
      </c>
      <c r="AL150">
        <v>22</v>
      </c>
    </row>
    <row r="151" spans="1:38" x14ac:dyDescent="0.2">
      <c r="A151" s="4" t="s">
        <v>132</v>
      </c>
      <c r="B151" s="4">
        <v>3</v>
      </c>
      <c r="C151" s="4">
        <v>2</v>
      </c>
      <c r="D151" s="4">
        <v>2</v>
      </c>
      <c r="E151" s="4">
        <v>3</v>
      </c>
      <c r="F151" s="20">
        <v>3</v>
      </c>
      <c r="G151" s="4">
        <v>4</v>
      </c>
      <c r="H151" s="4">
        <v>4</v>
      </c>
      <c r="I151" s="4">
        <v>4</v>
      </c>
      <c r="J151" s="4">
        <v>4</v>
      </c>
      <c r="K151" s="4">
        <v>4</v>
      </c>
      <c r="L151" s="4">
        <v>4</v>
      </c>
      <c r="M151" s="4">
        <v>4</v>
      </c>
      <c r="N151" s="4">
        <v>4</v>
      </c>
      <c r="O151" s="4">
        <v>4</v>
      </c>
      <c r="P151" s="4">
        <v>4</v>
      </c>
      <c r="Q151" s="4">
        <v>4</v>
      </c>
      <c r="R151" s="4">
        <v>4</v>
      </c>
      <c r="S151" s="4">
        <v>4</v>
      </c>
      <c r="T151">
        <v>4</v>
      </c>
      <c r="U151">
        <v>4</v>
      </c>
      <c r="V151">
        <v>4</v>
      </c>
      <c r="W151">
        <v>4</v>
      </c>
      <c r="X151">
        <v>4</v>
      </c>
      <c r="Y151">
        <v>4</v>
      </c>
      <c r="Z151">
        <v>4</v>
      </c>
      <c r="AA151">
        <v>4</v>
      </c>
      <c r="AB151">
        <v>4</v>
      </c>
      <c r="AC151">
        <v>4</v>
      </c>
      <c r="AD151">
        <v>4</v>
      </c>
      <c r="AE151">
        <v>4</v>
      </c>
      <c r="AF151">
        <v>4</v>
      </c>
      <c r="AG151">
        <v>4</v>
      </c>
      <c r="AH151">
        <v>4</v>
      </c>
      <c r="AI151">
        <v>4</v>
      </c>
      <c r="AJ151">
        <v>4</v>
      </c>
      <c r="AK151">
        <v>4</v>
      </c>
      <c r="AL151">
        <v>4</v>
      </c>
    </row>
    <row r="152" spans="1:38" x14ac:dyDescent="0.2">
      <c r="A152" s="4" t="s">
        <v>133</v>
      </c>
      <c r="B152" s="4">
        <v>6</v>
      </c>
      <c r="C152" s="4">
        <v>6</v>
      </c>
      <c r="D152" s="4">
        <v>5</v>
      </c>
      <c r="E152" s="4">
        <v>5</v>
      </c>
      <c r="F152" s="20">
        <v>6</v>
      </c>
      <c r="G152" s="4">
        <v>6</v>
      </c>
      <c r="H152" s="4">
        <v>6</v>
      </c>
      <c r="I152" s="4">
        <v>6</v>
      </c>
      <c r="J152" s="4">
        <v>6</v>
      </c>
      <c r="K152" s="4">
        <v>7</v>
      </c>
      <c r="L152" s="4">
        <v>7</v>
      </c>
      <c r="M152" s="4">
        <v>7</v>
      </c>
      <c r="N152" s="4">
        <v>7</v>
      </c>
      <c r="O152" s="4">
        <v>8</v>
      </c>
      <c r="P152" s="4">
        <v>10</v>
      </c>
      <c r="Q152" s="4">
        <v>10</v>
      </c>
      <c r="R152" s="4">
        <v>13</v>
      </c>
      <c r="S152" s="4">
        <v>13</v>
      </c>
      <c r="T152">
        <v>13</v>
      </c>
      <c r="U152">
        <v>13</v>
      </c>
      <c r="V152">
        <v>15</v>
      </c>
      <c r="W152">
        <v>16</v>
      </c>
      <c r="X152">
        <v>16</v>
      </c>
      <c r="Y152">
        <v>18</v>
      </c>
      <c r="Z152">
        <v>18</v>
      </c>
      <c r="AA152">
        <v>17</v>
      </c>
      <c r="AB152">
        <v>16</v>
      </c>
      <c r="AC152">
        <v>16</v>
      </c>
      <c r="AD152">
        <v>16</v>
      </c>
      <c r="AE152">
        <v>11</v>
      </c>
      <c r="AF152">
        <v>11</v>
      </c>
      <c r="AG152">
        <v>11</v>
      </c>
      <c r="AH152">
        <v>11</v>
      </c>
      <c r="AI152">
        <v>11</v>
      </c>
      <c r="AJ152">
        <v>11</v>
      </c>
      <c r="AK152">
        <v>11</v>
      </c>
      <c r="AL152">
        <v>11</v>
      </c>
    </row>
    <row r="153" spans="1:38" x14ac:dyDescent="0.2">
      <c r="A153" s="4" t="s">
        <v>134</v>
      </c>
      <c r="B153" s="4">
        <v>2</v>
      </c>
      <c r="C153" s="4">
        <v>2</v>
      </c>
      <c r="D153" s="4">
        <v>2</v>
      </c>
      <c r="E153" s="4">
        <v>2</v>
      </c>
      <c r="F153" s="21">
        <v>4</v>
      </c>
      <c r="G153" s="9">
        <v>4</v>
      </c>
      <c r="H153" s="9">
        <v>4</v>
      </c>
      <c r="I153" s="9">
        <v>4</v>
      </c>
      <c r="J153" s="9">
        <v>5</v>
      </c>
      <c r="K153" s="9">
        <v>5</v>
      </c>
      <c r="L153" s="9">
        <v>5</v>
      </c>
      <c r="M153" s="9">
        <v>6</v>
      </c>
      <c r="N153" s="9">
        <v>6</v>
      </c>
      <c r="O153" s="9">
        <v>5</v>
      </c>
      <c r="P153" s="9">
        <v>5</v>
      </c>
      <c r="Q153" s="9">
        <v>5</v>
      </c>
      <c r="R153" s="9">
        <v>5</v>
      </c>
      <c r="S153" s="9">
        <v>3</v>
      </c>
      <c r="T153">
        <v>3</v>
      </c>
      <c r="U153">
        <v>4</v>
      </c>
      <c r="V153">
        <v>4</v>
      </c>
      <c r="W153">
        <v>4</v>
      </c>
      <c r="X153">
        <v>4</v>
      </c>
      <c r="Y153">
        <v>4</v>
      </c>
      <c r="Z153">
        <v>4</v>
      </c>
      <c r="AA153">
        <v>5</v>
      </c>
      <c r="AB153">
        <v>4</v>
      </c>
      <c r="AC153">
        <v>4</v>
      </c>
      <c r="AD153">
        <v>4</v>
      </c>
      <c r="AE153">
        <v>13</v>
      </c>
      <c r="AF153">
        <v>13</v>
      </c>
      <c r="AG153">
        <v>13</v>
      </c>
      <c r="AH153">
        <v>13</v>
      </c>
      <c r="AI153">
        <v>13</v>
      </c>
      <c r="AJ153">
        <v>13</v>
      </c>
      <c r="AK153">
        <v>13</v>
      </c>
      <c r="AL153">
        <v>13</v>
      </c>
    </row>
    <row r="154" spans="1:38" x14ac:dyDescent="0.2">
      <c r="A154" s="4" t="s">
        <v>135</v>
      </c>
      <c r="B154" s="21">
        <v>1</v>
      </c>
      <c r="C154" s="21">
        <v>1</v>
      </c>
      <c r="D154" s="21">
        <v>1</v>
      </c>
      <c r="E154" s="21">
        <v>1</v>
      </c>
      <c r="F154" s="21">
        <v>1</v>
      </c>
      <c r="G154" s="9">
        <v>2</v>
      </c>
      <c r="H154" s="9">
        <v>3</v>
      </c>
      <c r="I154" s="9">
        <v>3</v>
      </c>
      <c r="J154" s="9">
        <v>3</v>
      </c>
      <c r="K154" s="9">
        <v>3</v>
      </c>
      <c r="L154" s="9">
        <v>3</v>
      </c>
      <c r="M154" s="9">
        <v>3</v>
      </c>
      <c r="N154" s="9">
        <v>3</v>
      </c>
      <c r="O154" s="9">
        <v>3</v>
      </c>
      <c r="P154" s="9">
        <v>3</v>
      </c>
      <c r="Q154" s="9">
        <v>3</v>
      </c>
      <c r="R154" s="9">
        <v>3</v>
      </c>
      <c r="S154" s="9">
        <v>3</v>
      </c>
      <c r="T154">
        <v>3</v>
      </c>
      <c r="U154">
        <v>3</v>
      </c>
      <c r="V154">
        <v>4</v>
      </c>
      <c r="W154">
        <v>4</v>
      </c>
      <c r="X154">
        <v>4</v>
      </c>
      <c r="Y154">
        <v>4</v>
      </c>
      <c r="Z154">
        <v>4</v>
      </c>
      <c r="AA154">
        <v>4</v>
      </c>
      <c r="AB154">
        <v>4</v>
      </c>
      <c r="AC154">
        <v>3</v>
      </c>
      <c r="AD154">
        <v>3</v>
      </c>
      <c r="AE154">
        <v>3</v>
      </c>
      <c r="AF154">
        <v>3</v>
      </c>
      <c r="AG154">
        <v>3</v>
      </c>
      <c r="AH154">
        <v>3</v>
      </c>
      <c r="AI154">
        <v>3</v>
      </c>
      <c r="AJ154">
        <v>3</v>
      </c>
      <c r="AK154">
        <v>3</v>
      </c>
      <c r="AL154">
        <v>3</v>
      </c>
    </row>
    <row r="155" spans="1:38" x14ac:dyDescent="0.2">
      <c r="A155" s="4" t="s">
        <v>136</v>
      </c>
      <c r="B155" s="21">
        <v>7</v>
      </c>
      <c r="C155" s="21">
        <v>8</v>
      </c>
      <c r="D155" s="21">
        <v>8</v>
      </c>
      <c r="E155" s="21">
        <v>8</v>
      </c>
      <c r="F155" s="21">
        <v>9</v>
      </c>
      <c r="G155" s="22">
        <v>9</v>
      </c>
      <c r="H155" s="22">
        <v>9</v>
      </c>
      <c r="I155" s="22">
        <v>13</v>
      </c>
      <c r="J155" s="22">
        <v>13</v>
      </c>
      <c r="K155" s="22">
        <v>12</v>
      </c>
      <c r="L155" s="22">
        <v>12</v>
      </c>
      <c r="M155" s="22">
        <v>12</v>
      </c>
      <c r="N155" s="22">
        <v>12</v>
      </c>
      <c r="O155" s="22">
        <v>12</v>
      </c>
      <c r="P155" s="23">
        <v>12</v>
      </c>
      <c r="Q155" s="9">
        <v>12</v>
      </c>
      <c r="R155" s="9">
        <v>12</v>
      </c>
      <c r="S155" s="9">
        <v>12</v>
      </c>
      <c r="T155">
        <v>12</v>
      </c>
      <c r="U155">
        <v>12</v>
      </c>
      <c r="V155">
        <v>13</v>
      </c>
      <c r="W155">
        <v>13</v>
      </c>
      <c r="X155">
        <v>13</v>
      </c>
      <c r="Y155">
        <v>13</v>
      </c>
      <c r="Z155">
        <v>13</v>
      </c>
      <c r="AA155">
        <v>13</v>
      </c>
      <c r="AB155">
        <v>13</v>
      </c>
      <c r="AC155">
        <v>13</v>
      </c>
      <c r="AD155">
        <v>13</v>
      </c>
      <c r="AE155">
        <v>14</v>
      </c>
      <c r="AF155">
        <v>14</v>
      </c>
      <c r="AG155">
        <v>14</v>
      </c>
      <c r="AH155">
        <v>14</v>
      </c>
      <c r="AI155">
        <v>14</v>
      </c>
      <c r="AJ155">
        <v>14</v>
      </c>
      <c r="AK155">
        <v>14</v>
      </c>
      <c r="AL155">
        <v>14</v>
      </c>
    </row>
    <row r="156" spans="1:38" x14ac:dyDescent="0.2">
      <c r="A156" s="7" t="s">
        <v>137</v>
      </c>
      <c r="B156" s="8">
        <v>190</v>
      </c>
      <c r="C156" s="8">
        <v>189</v>
      </c>
      <c r="D156" s="8">
        <v>188</v>
      </c>
      <c r="E156" s="8">
        <v>189</v>
      </c>
      <c r="F156" s="8">
        <v>188</v>
      </c>
      <c r="G156" s="9">
        <v>189</v>
      </c>
      <c r="H156" s="4">
        <v>189</v>
      </c>
      <c r="I156" s="4">
        <v>188</v>
      </c>
      <c r="J156" s="4">
        <v>187</v>
      </c>
      <c r="K156" s="4">
        <v>191</v>
      </c>
      <c r="L156" s="4">
        <v>191</v>
      </c>
      <c r="M156" s="4">
        <v>191</v>
      </c>
      <c r="N156" s="4">
        <v>191</v>
      </c>
      <c r="O156" s="4">
        <v>192</v>
      </c>
      <c r="P156" s="4">
        <v>193</v>
      </c>
      <c r="Q156" s="4">
        <v>193</v>
      </c>
      <c r="R156" s="4">
        <v>192</v>
      </c>
      <c r="S156" s="4">
        <v>190</v>
      </c>
      <c r="T156">
        <v>190</v>
      </c>
      <c r="U156">
        <v>190</v>
      </c>
      <c r="V156">
        <v>188</v>
      </c>
      <c r="W156">
        <v>188</v>
      </c>
      <c r="X156">
        <v>188</v>
      </c>
      <c r="Y156">
        <v>186</v>
      </c>
      <c r="Z156">
        <v>183</v>
      </c>
      <c r="AA156">
        <v>183</v>
      </c>
      <c r="AB156">
        <v>186</v>
      </c>
      <c r="AC156">
        <v>180</v>
      </c>
      <c r="AD156">
        <v>180</v>
      </c>
      <c r="AE156">
        <v>180</v>
      </c>
      <c r="AF156">
        <v>179</v>
      </c>
      <c r="AG156">
        <v>179</v>
      </c>
      <c r="AH156">
        <v>176</v>
      </c>
      <c r="AI156">
        <v>176</v>
      </c>
      <c r="AJ156">
        <v>176</v>
      </c>
      <c r="AK156">
        <v>176</v>
      </c>
      <c r="AL156">
        <v>174</v>
      </c>
    </row>
    <row r="158" spans="1:38" ht="22" x14ac:dyDescent="0.3">
      <c r="A158" s="54" t="s">
        <v>146</v>
      </c>
    </row>
    <row r="159" spans="1:38" x14ac:dyDescent="0.2">
      <c r="A159" s="12" t="s">
        <v>101</v>
      </c>
      <c r="B159" s="13" t="s">
        <v>102</v>
      </c>
      <c r="C159" s="13" t="s">
        <v>103</v>
      </c>
      <c r="D159" s="13" t="s">
        <v>104</v>
      </c>
      <c r="E159" s="13" t="s">
        <v>105</v>
      </c>
      <c r="F159" s="13" t="s">
        <v>106</v>
      </c>
      <c r="G159" s="13" t="s">
        <v>107</v>
      </c>
      <c r="H159" s="13" t="s">
        <v>108</v>
      </c>
      <c r="I159" s="13" t="s">
        <v>109</v>
      </c>
      <c r="J159" s="13" t="s">
        <v>110</v>
      </c>
      <c r="K159" s="13" t="s">
        <v>111</v>
      </c>
      <c r="L159" s="13" t="s">
        <v>112</v>
      </c>
      <c r="M159" s="13" t="s">
        <v>113</v>
      </c>
      <c r="N159" s="13" t="s">
        <v>114</v>
      </c>
      <c r="O159" s="13" t="s">
        <v>115</v>
      </c>
      <c r="P159" s="13" t="s">
        <v>116</v>
      </c>
      <c r="Q159" s="13" t="s">
        <v>117</v>
      </c>
      <c r="R159" s="13" t="s">
        <v>118</v>
      </c>
      <c r="S159" s="13" t="s">
        <v>119</v>
      </c>
      <c r="T159" s="13" t="s">
        <v>120</v>
      </c>
      <c r="U159" s="13" t="s">
        <v>121</v>
      </c>
      <c r="V159" s="13" t="s">
        <v>122</v>
      </c>
      <c r="W159" s="13" t="s">
        <v>123</v>
      </c>
      <c r="X159" s="13" t="s">
        <v>124</v>
      </c>
      <c r="Y159" s="13" t="s">
        <v>125</v>
      </c>
      <c r="Z159" s="13" t="s">
        <v>205</v>
      </c>
      <c r="AA159" s="13" t="s">
        <v>206</v>
      </c>
      <c r="AB159" s="13" t="s">
        <v>207</v>
      </c>
      <c r="AC159" s="13" t="s">
        <v>208</v>
      </c>
      <c r="AD159" s="80" t="s">
        <v>210</v>
      </c>
      <c r="AE159" s="80" t="s">
        <v>211</v>
      </c>
      <c r="AF159" s="80" t="s">
        <v>212</v>
      </c>
      <c r="AG159" s="88" t="s">
        <v>213</v>
      </c>
      <c r="AH159" s="88" t="s">
        <v>214</v>
      </c>
      <c r="AI159" s="88" t="s">
        <v>215</v>
      </c>
      <c r="AJ159" s="88" t="s">
        <v>216</v>
      </c>
      <c r="AK159" s="88" t="s">
        <v>217</v>
      </c>
      <c r="AL159" s="88" t="s">
        <v>218</v>
      </c>
    </row>
    <row r="160" spans="1:38" x14ac:dyDescent="0.2">
      <c r="A160" s="1" t="s">
        <v>10</v>
      </c>
      <c r="B160" s="2">
        <v>0.23530000000000001</v>
      </c>
      <c r="C160" s="2">
        <v>0.23530000000000001</v>
      </c>
      <c r="D160" s="2">
        <v>0.2319</v>
      </c>
      <c r="E160" s="25">
        <v>0.2319</v>
      </c>
      <c r="F160" s="25">
        <v>0.25</v>
      </c>
      <c r="G160" s="3">
        <v>0.25369999999999998</v>
      </c>
      <c r="H160" s="2">
        <v>0.26090000000000002</v>
      </c>
      <c r="I160" s="2">
        <v>0.2727</v>
      </c>
      <c r="J160" s="2">
        <v>0.2727</v>
      </c>
      <c r="K160" s="2">
        <v>0.28789999999999999</v>
      </c>
      <c r="L160" s="2">
        <v>0.28789999999999999</v>
      </c>
      <c r="M160" s="2">
        <v>0.28789999999999999</v>
      </c>
      <c r="N160" s="2">
        <v>0.30299999999999999</v>
      </c>
      <c r="O160" s="2">
        <v>0.31819999999999998</v>
      </c>
      <c r="P160" s="2">
        <v>0.3594</v>
      </c>
      <c r="Q160" s="2">
        <v>0.36509999999999998</v>
      </c>
      <c r="R160" s="2">
        <v>0.36509999999999998</v>
      </c>
      <c r="S160" s="2">
        <v>0.36509999999999998</v>
      </c>
      <c r="T160" s="2">
        <v>0.3548</v>
      </c>
      <c r="U160" s="2">
        <v>0.35479999999999989</v>
      </c>
      <c r="V160" s="2">
        <f>V163/(V163+V164+V166)</f>
        <v>0.36065573770491804</v>
      </c>
      <c r="W160" s="2">
        <v>0.4</v>
      </c>
      <c r="X160" s="78">
        <v>0.40679999999999999</v>
      </c>
      <c r="Y160" s="78">
        <v>0.44440000000000002</v>
      </c>
      <c r="Z160" s="78">
        <v>0.5</v>
      </c>
      <c r="AA160" s="78">
        <v>0.5111</v>
      </c>
      <c r="AB160" s="78">
        <v>0.52270000000000005</v>
      </c>
      <c r="AC160" s="78">
        <v>0.52270000000000005</v>
      </c>
      <c r="AD160" s="78">
        <v>0.52270000000000005</v>
      </c>
      <c r="AE160" s="85">
        <v>0.61899999999999999</v>
      </c>
      <c r="AF160" s="85">
        <v>0.64290000000000003</v>
      </c>
      <c r="AG160" s="85">
        <v>0.64290000000000003</v>
      </c>
      <c r="AH160" s="85">
        <v>0.64290000000000003</v>
      </c>
      <c r="AI160" s="85">
        <v>0.71790000000000009</v>
      </c>
      <c r="AJ160" s="85">
        <v>0.71790000000000009</v>
      </c>
      <c r="AK160" s="85">
        <v>0.7</v>
      </c>
      <c r="AL160" s="85">
        <v>0.7</v>
      </c>
    </row>
    <row r="162" spans="1:38" x14ac:dyDescent="0.2">
      <c r="A162" s="12" t="s">
        <v>126</v>
      </c>
      <c r="B162" s="13" t="s">
        <v>102</v>
      </c>
      <c r="C162" s="13" t="s">
        <v>103</v>
      </c>
      <c r="D162" s="13" t="s">
        <v>104</v>
      </c>
      <c r="E162" s="13" t="s">
        <v>105</v>
      </c>
      <c r="F162" s="13" t="s">
        <v>106</v>
      </c>
      <c r="G162" s="13" t="s">
        <v>107</v>
      </c>
      <c r="H162" s="13" t="s">
        <v>108</v>
      </c>
      <c r="I162" s="13" t="s">
        <v>109</v>
      </c>
      <c r="J162" s="13" t="s">
        <v>110</v>
      </c>
      <c r="K162" s="13" t="s">
        <v>111</v>
      </c>
      <c r="L162" s="13" t="s">
        <v>112</v>
      </c>
      <c r="M162" s="13" t="s">
        <v>113</v>
      </c>
      <c r="N162" s="13" t="s">
        <v>114</v>
      </c>
      <c r="O162" s="13" t="s">
        <v>115</v>
      </c>
      <c r="P162" s="13" t="s">
        <v>116</v>
      </c>
      <c r="Q162" s="13" t="s">
        <v>117</v>
      </c>
      <c r="R162" s="13" t="s">
        <v>118</v>
      </c>
      <c r="S162" s="13" t="s">
        <v>119</v>
      </c>
      <c r="T162" s="13" t="s">
        <v>120</v>
      </c>
      <c r="U162" s="13" t="s">
        <v>121</v>
      </c>
      <c r="V162" s="13" t="s">
        <v>122</v>
      </c>
      <c r="W162" s="13" t="s">
        <v>123</v>
      </c>
      <c r="X162" s="13" t="s">
        <v>124</v>
      </c>
      <c r="Y162" s="13" t="s">
        <v>125</v>
      </c>
      <c r="Z162" s="13" t="s">
        <v>205</v>
      </c>
      <c r="AA162" s="13" t="s">
        <v>206</v>
      </c>
      <c r="AB162" s="13" t="s">
        <v>207</v>
      </c>
      <c r="AC162" s="13" t="s">
        <v>208</v>
      </c>
      <c r="AD162" s="80" t="s">
        <v>210</v>
      </c>
      <c r="AE162" s="80" t="s">
        <v>211</v>
      </c>
      <c r="AF162" s="80" t="s">
        <v>212</v>
      </c>
      <c r="AG162" s="88" t="s">
        <v>213</v>
      </c>
      <c r="AH162" s="88" t="s">
        <v>214</v>
      </c>
      <c r="AI162" s="88" t="s">
        <v>215</v>
      </c>
      <c r="AJ162" s="88" t="s">
        <v>216</v>
      </c>
      <c r="AK162" s="88" t="s">
        <v>217</v>
      </c>
      <c r="AL162" s="88" t="s">
        <v>218</v>
      </c>
    </row>
    <row r="163" spans="1:38" x14ac:dyDescent="0.2">
      <c r="A163" s="1" t="s">
        <v>127</v>
      </c>
      <c r="B163" s="4">
        <v>16</v>
      </c>
      <c r="C163" s="4">
        <v>16</v>
      </c>
      <c r="D163" s="4">
        <v>16</v>
      </c>
      <c r="E163" s="4">
        <v>16</v>
      </c>
      <c r="F163" s="20">
        <v>17</v>
      </c>
      <c r="G163" s="4">
        <v>17</v>
      </c>
      <c r="H163" s="4">
        <v>18</v>
      </c>
      <c r="I163" s="4">
        <v>18</v>
      </c>
      <c r="J163" s="4">
        <v>18</v>
      </c>
      <c r="K163" s="4">
        <v>19</v>
      </c>
      <c r="L163" s="4">
        <v>19</v>
      </c>
      <c r="M163" s="4">
        <v>19</v>
      </c>
      <c r="N163" s="4">
        <v>20</v>
      </c>
      <c r="O163" s="4">
        <v>21</v>
      </c>
      <c r="P163" s="4">
        <v>23</v>
      </c>
      <c r="Q163" s="4">
        <v>23</v>
      </c>
      <c r="R163" s="4">
        <v>23</v>
      </c>
      <c r="S163" s="4">
        <v>23</v>
      </c>
      <c r="T163">
        <v>22</v>
      </c>
      <c r="U163">
        <v>22</v>
      </c>
      <c r="V163">
        <v>22</v>
      </c>
      <c r="W163">
        <v>24</v>
      </c>
      <c r="X163">
        <v>24</v>
      </c>
      <c r="Y163">
        <v>24</v>
      </c>
      <c r="Z163">
        <v>23</v>
      </c>
      <c r="AA163">
        <v>23</v>
      </c>
      <c r="AB163">
        <v>23</v>
      </c>
      <c r="AC163">
        <v>23</v>
      </c>
      <c r="AD163">
        <v>23</v>
      </c>
      <c r="AE163">
        <v>26</v>
      </c>
      <c r="AF163">
        <v>27</v>
      </c>
      <c r="AG163">
        <v>27</v>
      </c>
      <c r="AH163">
        <v>27</v>
      </c>
      <c r="AI163">
        <v>28</v>
      </c>
      <c r="AJ163">
        <v>28</v>
      </c>
      <c r="AK163">
        <v>28</v>
      </c>
      <c r="AL163">
        <v>28</v>
      </c>
    </row>
    <row r="164" spans="1:38" x14ac:dyDescent="0.2">
      <c r="A164" s="1" t="s">
        <v>128</v>
      </c>
      <c r="B164" s="4">
        <v>23</v>
      </c>
      <c r="C164" s="4">
        <v>23</v>
      </c>
      <c r="D164" s="4">
        <v>24</v>
      </c>
      <c r="E164" s="4">
        <v>24</v>
      </c>
      <c r="F164" s="20">
        <v>23</v>
      </c>
      <c r="G164" s="4">
        <v>22</v>
      </c>
      <c r="H164" s="4">
        <v>23</v>
      </c>
      <c r="I164" s="4">
        <v>21</v>
      </c>
      <c r="J164" s="4">
        <v>20</v>
      </c>
      <c r="K164" s="4">
        <v>19</v>
      </c>
      <c r="L164" s="4">
        <v>19</v>
      </c>
      <c r="M164" s="4">
        <v>21</v>
      </c>
      <c r="N164" s="4">
        <v>20</v>
      </c>
      <c r="O164" s="4">
        <v>20</v>
      </c>
      <c r="P164" s="4">
        <v>19</v>
      </c>
      <c r="Q164" s="4">
        <v>20</v>
      </c>
      <c r="R164" s="4">
        <v>20</v>
      </c>
      <c r="S164" s="4">
        <v>20</v>
      </c>
      <c r="T164">
        <v>22</v>
      </c>
      <c r="U164">
        <v>22</v>
      </c>
      <c r="V164">
        <v>22</v>
      </c>
      <c r="W164">
        <v>20</v>
      </c>
      <c r="X164">
        <v>20</v>
      </c>
      <c r="Y164">
        <v>20</v>
      </c>
      <c r="Z164">
        <v>19</v>
      </c>
      <c r="AA164">
        <v>18</v>
      </c>
      <c r="AB164">
        <v>17</v>
      </c>
      <c r="AC164">
        <v>18</v>
      </c>
      <c r="AD164">
        <v>18</v>
      </c>
      <c r="AE164">
        <v>14</v>
      </c>
      <c r="AF164">
        <v>14</v>
      </c>
      <c r="AG164">
        <v>14</v>
      </c>
      <c r="AH164">
        <v>14</v>
      </c>
      <c r="AI164">
        <v>10</v>
      </c>
      <c r="AJ164">
        <v>10</v>
      </c>
      <c r="AK164">
        <v>10</v>
      </c>
      <c r="AL164">
        <v>10</v>
      </c>
    </row>
    <row r="165" spans="1:38" x14ac:dyDescent="0.2">
      <c r="A165" s="4" t="s">
        <v>129</v>
      </c>
      <c r="B165" s="21" t="s">
        <v>139</v>
      </c>
      <c r="C165" s="21" t="s">
        <v>139</v>
      </c>
      <c r="D165" s="21" t="s">
        <v>139</v>
      </c>
      <c r="E165" s="21" t="s">
        <v>139</v>
      </c>
      <c r="F165" s="21" t="s">
        <v>139</v>
      </c>
      <c r="G165" s="9" t="s">
        <v>139</v>
      </c>
      <c r="H165" s="9" t="s">
        <v>139</v>
      </c>
      <c r="I165" s="9" t="s">
        <v>139</v>
      </c>
      <c r="J165" s="9" t="s">
        <v>139</v>
      </c>
      <c r="K165" s="9" t="s">
        <v>139</v>
      </c>
      <c r="L165" s="9" t="s">
        <v>139</v>
      </c>
      <c r="M165" s="9" t="s">
        <v>139</v>
      </c>
      <c r="N165" s="9" t="s">
        <v>139</v>
      </c>
      <c r="O165" s="9" t="s">
        <v>139</v>
      </c>
      <c r="P165" s="9" t="s">
        <v>139</v>
      </c>
      <c r="Q165" s="9" t="s">
        <v>139</v>
      </c>
      <c r="R165" s="9" t="s">
        <v>139</v>
      </c>
      <c r="S165" s="9" t="s">
        <v>139</v>
      </c>
      <c r="T165" t="s">
        <v>139</v>
      </c>
      <c r="U165" t="s">
        <v>139</v>
      </c>
      <c r="V165" t="s">
        <v>139</v>
      </c>
      <c r="W165" t="s">
        <v>139</v>
      </c>
      <c r="X165" t="s">
        <v>139</v>
      </c>
      <c r="Y165" t="s">
        <v>139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3</v>
      </c>
      <c r="AJ165">
        <v>3</v>
      </c>
      <c r="AK165">
        <v>3</v>
      </c>
      <c r="AL165">
        <v>3</v>
      </c>
    </row>
    <row r="166" spans="1:38" x14ac:dyDescent="0.2">
      <c r="A166" s="1" t="s">
        <v>130</v>
      </c>
      <c r="B166" s="4">
        <v>29</v>
      </c>
      <c r="C166" s="4">
        <v>29</v>
      </c>
      <c r="D166" s="4">
        <v>29</v>
      </c>
      <c r="E166" s="4">
        <v>29</v>
      </c>
      <c r="F166" s="20">
        <v>28</v>
      </c>
      <c r="G166" s="4">
        <v>28</v>
      </c>
      <c r="H166" s="4">
        <v>28</v>
      </c>
      <c r="I166" s="4">
        <v>27</v>
      </c>
      <c r="J166" s="4">
        <v>28</v>
      </c>
      <c r="K166" s="4">
        <v>28</v>
      </c>
      <c r="L166" s="4">
        <v>28</v>
      </c>
      <c r="M166" s="4">
        <v>26</v>
      </c>
      <c r="N166" s="4">
        <v>26</v>
      </c>
      <c r="O166" s="4">
        <v>25</v>
      </c>
      <c r="P166" s="4">
        <v>22</v>
      </c>
      <c r="Q166" s="4">
        <v>20</v>
      </c>
      <c r="R166" s="4">
        <v>20</v>
      </c>
      <c r="S166" s="4">
        <v>20</v>
      </c>
      <c r="T166">
        <v>18</v>
      </c>
      <c r="U166">
        <v>18</v>
      </c>
      <c r="V166">
        <v>17</v>
      </c>
      <c r="W166">
        <v>16</v>
      </c>
      <c r="X166">
        <v>15</v>
      </c>
      <c r="Y166">
        <v>10</v>
      </c>
      <c r="Z166">
        <v>4</v>
      </c>
      <c r="AA166">
        <v>4</v>
      </c>
      <c r="AB166">
        <v>4</v>
      </c>
      <c r="AC166">
        <v>3</v>
      </c>
      <c r="AD166">
        <v>3</v>
      </c>
      <c r="AE166">
        <v>2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2</v>
      </c>
      <c r="AL166">
        <v>2</v>
      </c>
    </row>
    <row r="167" spans="1:38" x14ac:dyDescent="0.2">
      <c r="A167" s="4" t="s">
        <v>131</v>
      </c>
      <c r="B167" s="4">
        <v>6</v>
      </c>
      <c r="C167" s="4">
        <v>6</v>
      </c>
      <c r="D167" s="4">
        <v>6</v>
      </c>
      <c r="E167" s="4">
        <v>6</v>
      </c>
      <c r="F167" s="20">
        <v>6</v>
      </c>
      <c r="G167" s="4">
        <v>6</v>
      </c>
      <c r="H167" s="4">
        <v>6</v>
      </c>
      <c r="I167" s="4">
        <v>6</v>
      </c>
      <c r="J167" s="4">
        <v>7</v>
      </c>
      <c r="K167" s="4">
        <v>8</v>
      </c>
      <c r="L167" s="4">
        <v>8</v>
      </c>
      <c r="M167" s="4">
        <v>8</v>
      </c>
      <c r="N167" s="4">
        <v>8</v>
      </c>
      <c r="O167" s="4">
        <v>8</v>
      </c>
      <c r="P167" s="4">
        <v>9</v>
      </c>
      <c r="Q167" s="4">
        <v>9</v>
      </c>
      <c r="R167" s="4">
        <v>9</v>
      </c>
      <c r="S167" s="4">
        <v>9</v>
      </c>
      <c r="T167">
        <v>9</v>
      </c>
      <c r="U167">
        <v>9</v>
      </c>
      <c r="V167">
        <v>9</v>
      </c>
      <c r="W167">
        <v>10</v>
      </c>
      <c r="X167">
        <v>10</v>
      </c>
      <c r="Y167">
        <v>12</v>
      </c>
      <c r="Z167">
        <v>13</v>
      </c>
      <c r="AA167">
        <v>13</v>
      </c>
      <c r="AB167">
        <v>13</v>
      </c>
      <c r="AC167">
        <v>13</v>
      </c>
      <c r="AD167">
        <v>13</v>
      </c>
      <c r="AE167">
        <v>13</v>
      </c>
      <c r="AF167">
        <v>13</v>
      </c>
      <c r="AG167">
        <v>13</v>
      </c>
      <c r="AH167">
        <v>13</v>
      </c>
      <c r="AI167">
        <v>14</v>
      </c>
      <c r="AJ167">
        <v>14</v>
      </c>
      <c r="AK167">
        <v>14</v>
      </c>
      <c r="AL167">
        <v>14</v>
      </c>
    </row>
    <row r="168" spans="1:38" x14ac:dyDescent="0.2">
      <c r="A168" s="4" t="s">
        <v>132</v>
      </c>
      <c r="B168" s="4" t="s">
        <v>139</v>
      </c>
      <c r="C168" s="4" t="s">
        <v>139</v>
      </c>
      <c r="D168" s="4" t="s">
        <v>139</v>
      </c>
      <c r="E168" s="4" t="s">
        <v>139</v>
      </c>
      <c r="F168" s="20" t="s">
        <v>139</v>
      </c>
      <c r="G168" s="4" t="s">
        <v>139</v>
      </c>
      <c r="H168" s="4" t="s">
        <v>139</v>
      </c>
      <c r="I168" s="4" t="s">
        <v>139</v>
      </c>
      <c r="J168" s="4" t="s">
        <v>139</v>
      </c>
      <c r="K168" s="4" t="s">
        <v>139</v>
      </c>
      <c r="L168" s="4" t="s">
        <v>139</v>
      </c>
      <c r="M168" s="4" t="s">
        <v>139</v>
      </c>
      <c r="N168" s="4" t="s">
        <v>139</v>
      </c>
      <c r="O168" s="4" t="s">
        <v>139</v>
      </c>
      <c r="P168" s="4" t="s">
        <v>139</v>
      </c>
      <c r="Q168" s="4" t="s">
        <v>139</v>
      </c>
      <c r="R168" s="4" t="s">
        <v>139</v>
      </c>
      <c r="S168" s="4" t="s">
        <v>139</v>
      </c>
      <c r="T168" t="s">
        <v>139</v>
      </c>
      <c r="U168" t="s">
        <v>139</v>
      </c>
      <c r="V168" t="s">
        <v>139</v>
      </c>
      <c r="W168" t="s">
        <v>139</v>
      </c>
      <c r="X168" t="s">
        <v>139</v>
      </c>
      <c r="Y168" t="s">
        <v>139</v>
      </c>
      <c r="Z168" t="s">
        <v>139</v>
      </c>
      <c r="AA168" t="s">
        <v>139</v>
      </c>
      <c r="AB168" t="s">
        <v>139</v>
      </c>
      <c r="AC168" t="s">
        <v>139</v>
      </c>
      <c r="AD168" t="s">
        <v>139</v>
      </c>
      <c r="AE168" t="s">
        <v>139</v>
      </c>
      <c r="AF168" t="s">
        <v>139</v>
      </c>
      <c r="AG168" t="s">
        <v>139</v>
      </c>
      <c r="AH168" t="s">
        <v>139</v>
      </c>
      <c r="AI168" t="s">
        <v>139</v>
      </c>
      <c r="AJ168" t="s">
        <v>139</v>
      </c>
      <c r="AK168" t="s">
        <v>139</v>
      </c>
      <c r="AL168" t="s">
        <v>139</v>
      </c>
    </row>
    <row r="169" spans="1:38" x14ac:dyDescent="0.2">
      <c r="A169" s="4" t="s">
        <v>133</v>
      </c>
      <c r="B169" s="4">
        <v>3</v>
      </c>
      <c r="C169" s="4">
        <v>3</v>
      </c>
      <c r="D169" s="4">
        <v>3</v>
      </c>
      <c r="E169" s="4">
        <v>3</v>
      </c>
      <c r="F169" s="20">
        <v>3</v>
      </c>
      <c r="G169" s="4">
        <v>3</v>
      </c>
      <c r="H169" s="4">
        <v>3</v>
      </c>
      <c r="I169" s="4">
        <v>6</v>
      </c>
      <c r="J169" s="4">
        <v>7</v>
      </c>
      <c r="K169" s="4">
        <v>7</v>
      </c>
      <c r="L169" s="4">
        <v>7</v>
      </c>
      <c r="M169" s="4">
        <v>7</v>
      </c>
      <c r="N169" s="4">
        <v>7</v>
      </c>
      <c r="O169" s="4">
        <v>7</v>
      </c>
      <c r="P169" s="4">
        <v>8</v>
      </c>
      <c r="Q169" s="4">
        <v>8</v>
      </c>
      <c r="R169" s="4">
        <v>8</v>
      </c>
      <c r="S169" s="4">
        <v>8</v>
      </c>
      <c r="T169">
        <v>8</v>
      </c>
      <c r="U169">
        <v>8</v>
      </c>
      <c r="V169">
        <v>8</v>
      </c>
      <c r="W169">
        <v>8</v>
      </c>
      <c r="X169">
        <v>8</v>
      </c>
      <c r="Y169">
        <v>12</v>
      </c>
      <c r="Z169">
        <v>16</v>
      </c>
      <c r="AA169">
        <v>16</v>
      </c>
      <c r="AB169">
        <v>16</v>
      </c>
      <c r="AC169">
        <v>14</v>
      </c>
      <c r="AD169">
        <v>14</v>
      </c>
      <c r="AE169">
        <v>15</v>
      </c>
      <c r="AF169">
        <v>15</v>
      </c>
      <c r="AG169">
        <v>15</v>
      </c>
      <c r="AH169">
        <v>15</v>
      </c>
      <c r="AI169">
        <v>15</v>
      </c>
      <c r="AJ169">
        <v>15</v>
      </c>
      <c r="AK169">
        <v>15</v>
      </c>
      <c r="AL169">
        <v>15</v>
      </c>
    </row>
    <row r="170" spans="1:38" x14ac:dyDescent="0.2">
      <c r="A170" s="4" t="s">
        <v>134</v>
      </c>
      <c r="B170" s="4" t="s">
        <v>139</v>
      </c>
      <c r="C170" s="4" t="s">
        <v>139</v>
      </c>
      <c r="D170" s="4" t="s">
        <v>139</v>
      </c>
      <c r="E170" s="4" t="s">
        <v>139</v>
      </c>
      <c r="F170" s="21">
        <v>1</v>
      </c>
      <c r="G170" s="9">
        <v>1</v>
      </c>
      <c r="H170" s="9">
        <v>3</v>
      </c>
      <c r="I170" s="9">
        <v>3</v>
      </c>
      <c r="J170" s="9">
        <v>3</v>
      </c>
      <c r="K170" s="9">
        <v>3</v>
      </c>
      <c r="L170" s="9">
        <v>3</v>
      </c>
      <c r="M170" s="9">
        <v>3</v>
      </c>
      <c r="N170" s="9">
        <v>3</v>
      </c>
      <c r="O170" s="9">
        <v>3</v>
      </c>
      <c r="P170" s="9">
        <v>3</v>
      </c>
      <c r="Q170" s="9">
        <v>3</v>
      </c>
      <c r="R170" s="9">
        <v>3</v>
      </c>
      <c r="S170" s="9">
        <v>3</v>
      </c>
      <c r="T170">
        <v>3</v>
      </c>
      <c r="U170">
        <v>3</v>
      </c>
      <c r="V170">
        <v>3</v>
      </c>
      <c r="W170">
        <v>3</v>
      </c>
      <c r="X170">
        <v>4</v>
      </c>
      <c r="Y170">
        <v>3</v>
      </c>
      <c r="Z170">
        <v>2</v>
      </c>
      <c r="AA170">
        <v>2</v>
      </c>
      <c r="AB170">
        <v>2</v>
      </c>
      <c r="AC170">
        <v>2</v>
      </c>
      <c r="AD170">
        <v>2</v>
      </c>
      <c r="AE170">
        <v>2</v>
      </c>
      <c r="AF170">
        <v>2</v>
      </c>
      <c r="AG170">
        <v>2</v>
      </c>
      <c r="AH170">
        <v>2</v>
      </c>
      <c r="AI170">
        <v>2</v>
      </c>
      <c r="AJ170">
        <v>2</v>
      </c>
      <c r="AK170">
        <v>2</v>
      </c>
      <c r="AL170">
        <v>2</v>
      </c>
    </row>
    <row r="171" spans="1:38" x14ac:dyDescent="0.2">
      <c r="A171" s="4" t="s">
        <v>135</v>
      </c>
      <c r="B171" s="21" t="s">
        <v>139</v>
      </c>
      <c r="C171" s="21" t="s">
        <v>139</v>
      </c>
      <c r="D171" s="21" t="s">
        <v>139</v>
      </c>
      <c r="E171" s="21" t="s">
        <v>139</v>
      </c>
      <c r="F171" s="21" t="s">
        <v>139</v>
      </c>
      <c r="G171" s="9" t="s">
        <v>139</v>
      </c>
      <c r="H171" s="9" t="s">
        <v>139</v>
      </c>
      <c r="I171" s="9" t="s">
        <v>139</v>
      </c>
      <c r="J171" s="9" t="s">
        <v>139</v>
      </c>
      <c r="K171" s="9" t="s">
        <v>139</v>
      </c>
      <c r="L171" s="9" t="s">
        <v>139</v>
      </c>
      <c r="M171" s="9" t="s">
        <v>139</v>
      </c>
      <c r="N171" s="9" t="s">
        <v>139</v>
      </c>
      <c r="O171" s="9" t="s">
        <v>139</v>
      </c>
      <c r="P171" s="9" t="s">
        <v>139</v>
      </c>
      <c r="Q171" s="9" t="s">
        <v>139</v>
      </c>
      <c r="R171" s="9" t="s">
        <v>139</v>
      </c>
      <c r="S171" s="9" t="s">
        <v>139</v>
      </c>
      <c r="T171" t="s">
        <v>139</v>
      </c>
      <c r="U171" t="s">
        <v>139</v>
      </c>
      <c r="V171" t="s">
        <v>139</v>
      </c>
      <c r="W171" t="s">
        <v>139</v>
      </c>
      <c r="X171" t="s">
        <v>139</v>
      </c>
      <c r="Y171" t="s">
        <v>139</v>
      </c>
      <c r="Z171" t="s">
        <v>139</v>
      </c>
      <c r="AA171" t="s">
        <v>139</v>
      </c>
      <c r="AB171" t="s">
        <v>139</v>
      </c>
      <c r="AC171" t="s">
        <v>139</v>
      </c>
      <c r="AD171" t="s">
        <v>139</v>
      </c>
      <c r="AE171" t="s">
        <v>139</v>
      </c>
      <c r="AF171" t="s">
        <v>139</v>
      </c>
      <c r="AG171" t="s">
        <v>139</v>
      </c>
      <c r="AH171" t="s">
        <v>139</v>
      </c>
      <c r="AI171" t="s">
        <v>139</v>
      </c>
      <c r="AJ171" t="s">
        <v>139</v>
      </c>
      <c r="AK171" t="s">
        <v>139</v>
      </c>
      <c r="AL171" t="s">
        <v>139</v>
      </c>
    </row>
    <row r="172" spans="1:38" x14ac:dyDescent="0.2">
      <c r="A172" s="4" t="s">
        <v>136</v>
      </c>
      <c r="B172" s="21">
        <v>4</v>
      </c>
      <c r="C172" s="21">
        <v>4</v>
      </c>
      <c r="D172" s="21">
        <v>4</v>
      </c>
      <c r="E172" s="21">
        <v>4</v>
      </c>
      <c r="F172" s="21">
        <v>4</v>
      </c>
      <c r="G172" s="22">
        <v>4</v>
      </c>
      <c r="H172" s="22">
        <v>4</v>
      </c>
      <c r="I172" s="22">
        <v>4</v>
      </c>
      <c r="J172" s="22">
        <v>5</v>
      </c>
      <c r="K172" s="22">
        <v>6</v>
      </c>
      <c r="L172" s="22">
        <v>6</v>
      </c>
      <c r="M172" s="22">
        <v>6</v>
      </c>
      <c r="N172" s="22">
        <v>6</v>
      </c>
      <c r="O172" s="22">
        <v>6</v>
      </c>
      <c r="P172" s="23">
        <v>6</v>
      </c>
      <c r="Q172" s="9">
        <v>6</v>
      </c>
      <c r="R172" s="9">
        <v>6</v>
      </c>
      <c r="S172" s="9">
        <v>6</v>
      </c>
      <c r="T172">
        <v>6</v>
      </c>
      <c r="U172">
        <v>6</v>
      </c>
      <c r="V172">
        <v>6</v>
      </c>
      <c r="W172">
        <v>6</v>
      </c>
      <c r="X172">
        <v>6</v>
      </c>
      <c r="Y172">
        <v>6</v>
      </c>
      <c r="Z172">
        <v>7</v>
      </c>
      <c r="AA172">
        <v>7</v>
      </c>
      <c r="AB172">
        <v>8</v>
      </c>
      <c r="AC172">
        <v>7</v>
      </c>
      <c r="AD172">
        <v>7</v>
      </c>
      <c r="AE172">
        <v>8</v>
      </c>
      <c r="AF172">
        <v>7</v>
      </c>
      <c r="AG172">
        <v>7</v>
      </c>
      <c r="AH172">
        <v>7</v>
      </c>
      <c r="AI172">
        <v>7</v>
      </c>
      <c r="AJ172">
        <v>7</v>
      </c>
      <c r="AK172">
        <v>7</v>
      </c>
      <c r="AL172">
        <v>7</v>
      </c>
    </row>
    <row r="173" spans="1:38" x14ac:dyDescent="0.2">
      <c r="A173" s="7" t="s">
        <v>137</v>
      </c>
      <c r="B173" s="8">
        <v>81</v>
      </c>
      <c r="C173" s="8">
        <v>81</v>
      </c>
      <c r="D173" s="8">
        <v>82</v>
      </c>
      <c r="E173" s="8">
        <v>82</v>
      </c>
      <c r="F173" s="8">
        <v>82</v>
      </c>
      <c r="G173" s="9">
        <v>81</v>
      </c>
      <c r="H173" s="4">
        <v>85</v>
      </c>
      <c r="I173" s="4">
        <v>85</v>
      </c>
      <c r="J173" s="4">
        <v>88</v>
      </c>
      <c r="K173" s="4">
        <v>90</v>
      </c>
      <c r="L173" s="4">
        <v>90</v>
      </c>
      <c r="M173" s="4">
        <v>90</v>
      </c>
      <c r="N173" s="4">
        <v>90</v>
      </c>
      <c r="O173" s="4">
        <v>90</v>
      </c>
      <c r="P173" s="4">
        <v>90</v>
      </c>
      <c r="Q173" s="4">
        <v>89</v>
      </c>
      <c r="R173" s="4">
        <v>89</v>
      </c>
      <c r="S173" s="4">
        <v>89</v>
      </c>
      <c r="T173">
        <v>88</v>
      </c>
      <c r="U173">
        <v>88</v>
      </c>
      <c r="V173">
        <v>88</v>
      </c>
      <c r="W173">
        <v>87</v>
      </c>
      <c r="X173">
        <v>87</v>
      </c>
      <c r="Y173">
        <v>87</v>
      </c>
      <c r="Z173">
        <v>85</v>
      </c>
      <c r="AA173">
        <v>84</v>
      </c>
      <c r="AB173">
        <v>84</v>
      </c>
      <c r="AC173">
        <v>81</v>
      </c>
      <c r="AD173">
        <v>81</v>
      </c>
      <c r="AE173">
        <v>81</v>
      </c>
      <c r="AF173">
        <v>80</v>
      </c>
      <c r="AG173">
        <v>80</v>
      </c>
      <c r="AH173">
        <v>80</v>
      </c>
      <c r="AI173">
        <v>80</v>
      </c>
      <c r="AJ173">
        <v>80</v>
      </c>
      <c r="AK173">
        <v>81</v>
      </c>
      <c r="AL173">
        <v>81</v>
      </c>
    </row>
    <row r="175" spans="1:38" ht="22" x14ac:dyDescent="0.3">
      <c r="A175" s="54" t="s">
        <v>147</v>
      </c>
    </row>
    <row r="176" spans="1:38" x14ac:dyDescent="0.2">
      <c r="A176" s="12" t="s">
        <v>101</v>
      </c>
      <c r="B176" s="13" t="s">
        <v>102</v>
      </c>
      <c r="C176" s="13" t="s">
        <v>103</v>
      </c>
      <c r="D176" s="13" t="s">
        <v>104</v>
      </c>
      <c r="E176" s="13" t="s">
        <v>105</v>
      </c>
      <c r="F176" s="13" t="s">
        <v>106</v>
      </c>
      <c r="G176" s="13" t="s">
        <v>107</v>
      </c>
      <c r="H176" s="13" t="s">
        <v>108</v>
      </c>
      <c r="I176" s="13" t="s">
        <v>109</v>
      </c>
      <c r="J176" s="13" t="s">
        <v>110</v>
      </c>
      <c r="K176" s="13" t="s">
        <v>111</v>
      </c>
      <c r="L176" s="13" t="s">
        <v>112</v>
      </c>
      <c r="M176" s="13" t="s">
        <v>113</v>
      </c>
      <c r="N176" s="13" t="s">
        <v>114</v>
      </c>
      <c r="O176" s="13" t="s">
        <v>115</v>
      </c>
      <c r="P176" s="13" t="s">
        <v>116</v>
      </c>
      <c r="Q176" s="13" t="s">
        <v>117</v>
      </c>
      <c r="R176" s="13" t="s">
        <v>118</v>
      </c>
      <c r="S176" s="13" t="s">
        <v>119</v>
      </c>
      <c r="T176" s="13" t="s">
        <v>120</v>
      </c>
      <c r="U176" s="13" t="s">
        <v>121</v>
      </c>
      <c r="V176" s="13" t="s">
        <v>122</v>
      </c>
      <c r="W176" s="13" t="s">
        <v>123</v>
      </c>
      <c r="X176" s="13" t="s">
        <v>124</v>
      </c>
      <c r="Y176" s="13" t="s">
        <v>125</v>
      </c>
      <c r="Z176" s="13" t="s">
        <v>205</v>
      </c>
      <c r="AA176" s="13" t="s">
        <v>206</v>
      </c>
      <c r="AB176" s="13" t="s">
        <v>207</v>
      </c>
      <c r="AC176" s="13" t="s">
        <v>208</v>
      </c>
      <c r="AD176" s="80" t="s">
        <v>210</v>
      </c>
      <c r="AE176" s="80" t="s">
        <v>211</v>
      </c>
      <c r="AF176" s="80" t="s">
        <v>212</v>
      </c>
      <c r="AG176" s="88" t="s">
        <v>213</v>
      </c>
      <c r="AH176" s="88" t="s">
        <v>214</v>
      </c>
      <c r="AI176" s="88" t="s">
        <v>215</v>
      </c>
      <c r="AJ176" s="88" t="s">
        <v>216</v>
      </c>
      <c r="AK176" s="88" t="s">
        <v>217</v>
      </c>
      <c r="AL176" s="88" t="s">
        <v>218</v>
      </c>
    </row>
    <row r="177" spans="1:38" x14ac:dyDescent="0.2">
      <c r="A177" s="1" t="s">
        <v>10</v>
      </c>
      <c r="B177" s="2">
        <v>0.14610000000000001</v>
      </c>
      <c r="C177" s="2">
        <v>0.14119999999999999</v>
      </c>
      <c r="D177" s="2">
        <v>0.14610000000000001</v>
      </c>
      <c r="E177" s="25">
        <v>0.16109999999999999</v>
      </c>
      <c r="F177" s="25">
        <v>0.17680000000000001</v>
      </c>
      <c r="G177" s="3">
        <v>0.18029999999999999</v>
      </c>
      <c r="H177" s="2">
        <v>0.18229999999999999</v>
      </c>
      <c r="I177" s="2">
        <v>0.18129999999999999</v>
      </c>
      <c r="J177" s="2">
        <v>0.18779999999999999</v>
      </c>
      <c r="K177" s="2">
        <v>0.26229999999999998</v>
      </c>
      <c r="L177" s="2">
        <v>0.26779999999999998</v>
      </c>
      <c r="M177" s="2">
        <v>0.26779999999999998</v>
      </c>
      <c r="N177" s="2">
        <v>0.2732</v>
      </c>
      <c r="O177" s="2">
        <v>0.28570000000000001</v>
      </c>
      <c r="P177" s="2">
        <v>0.30769999999999997</v>
      </c>
      <c r="Q177" s="2">
        <v>0.32040000000000002</v>
      </c>
      <c r="R177" s="2">
        <v>0.33150000000000002</v>
      </c>
      <c r="S177" s="2">
        <v>0.35</v>
      </c>
      <c r="T177" s="78">
        <v>0.36109999999999998</v>
      </c>
      <c r="U177" s="78">
        <v>0.38069999999999998</v>
      </c>
      <c r="V177" s="78">
        <v>0.44309999999999999</v>
      </c>
      <c r="W177" s="78">
        <v>0.49030000000000001</v>
      </c>
      <c r="X177" s="78">
        <v>0.50980000000000003</v>
      </c>
      <c r="Y177" s="78">
        <v>0.58160000000000001</v>
      </c>
      <c r="Z177" s="78">
        <v>0.63360000000000005</v>
      </c>
      <c r="AA177" s="78">
        <v>0.65380000000000005</v>
      </c>
      <c r="AB177" s="78">
        <v>0.66149999999999998</v>
      </c>
      <c r="AC177" s="78">
        <v>0.69289999999999996</v>
      </c>
      <c r="AD177" s="78">
        <v>0.7258</v>
      </c>
      <c r="AE177" s="85">
        <v>0.72</v>
      </c>
      <c r="AF177" s="85">
        <v>0.7339</v>
      </c>
      <c r="AG177" s="85">
        <v>0.77689999999999992</v>
      </c>
      <c r="AH177" s="85">
        <v>0.78150000000000008</v>
      </c>
      <c r="AI177" s="85">
        <v>0.8</v>
      </c>
      <c r="AJ177" s="85">
        <v>0.80180000000000007</v>
      </c>
      <c r="AK177" s="85">
        <v>0.80909999999999993</v>
      </c>
      <c r="AL177" s="85">
        <v>0.82239999999999991</v>
      </c>
    </row>
    <row r="179" spans="1:38" x14ac:dyDescent="0.2">
      <c r="A179" s="12" t="s">
        <v>126</v>
      </c>
      <c r="B179" s="13" t="s">
        <v>102</v>
      </c>
      <c r="C179" s="13" t="s">
        <v>103</v>
      </c>
      <c r="D179" s="13" t="s">
        <v>104</v>
      </c>
      <c r="E179" s="13" t="s">
        <v>105</v>
      </c>
      <c r="F179" s="13" t="s">
        <v>106</v>
      </c>
      <c r="G179" s="13" t="s">
        <v>107</v>
      </c>
      <c r="H179" s="13" t="s">
        <v>108</v>
      </c>
      <c r="I179" s="13" t="s">
        <v>109</v>
      </c>
      <c r="J179" s="13" t="s">
        <v>110</v>
      </c>
      <c r="K179" s="13" t="s">
        <v>111</v>
      </c>
      <c r="L179" s="13" t="s">
        <v>112</v>
      </c>
      <c r="M179" s="13" t="s">
        <v>113</v>
      </c>
      <c r="N179" s="13" t="s">
        <v>114</v>
      </c>
      <c r="O179" s="13" t="s">
        <v>115</v>
      </c>
      <c r="P179" s="13" t="s">
        <v>116</v>
      </c>
      <c r="Q179" s="13" t="s">
        <v>117</v>
      </c>
      <c r="R179" s="13" t="s">
        <v>118</v>
      </c>
      <c r="S179" s="13" t="s">
        <v>119</v>
      </c>
      <c r="T179" s="13" t="s">
        <v>120</v>
      </c>
      <c r="U179" s="13" t="s">
        <v>121</v>
      </c>
      <c r="V179" s="13" t="s">
        <v>122</v>
      </c>
      <c r="W179" s="13" t="s">
        <v>123</v>
      </c>
      <c r="X179" s="13" t="s">
        <v>124</v>
      </c>
      <c r="Y179" s="13" t="s">
        <v>125</v>
      </c>
      <c r="Z179" s="13" t="s">
        <v>205</v>
      </c>
      <c r="AA179" s="13" t="s">
        <v>206</v>
      </c>
      <c r="AB179" s="13" t="s">
        <v>207</v>
      </c>
      <c r="AC179" s="13" t="s">
        <v>208</v>
      </c>
      <c r="AD179" s="80" t="s">
        <v>210</v>
      </c>
      <c r="AE179" s="80" t="s">
        <v>211</v>
      </c>
      <c r="AF179" s="80" t="s">
        <v>212</v>
      </c>
      <c r="AG179" s="88" t="s">
        <v>213</v>
      </c>
      <c r="AH179" s="88" t="s">
        <v>214</v>
      </c>
      <c r="AI179" s="88" t="s">
        <v>215</v>
      </c>
      <c r="AJ179" s="88" t="s">
        <v>216</v>
      </c>
      <c r="AK179" s="88" t="s">
        <v>217</v>
      </c>
      <c r="AL179" s="88" t="s">
        <v>218</v>
      </c>
    </row>
    <row r="180" spans="1:38" x14ac:dyDescent="0.2">
      <c r="A180" s="1" t="s">
        <v>127</v>
      </c>
      <c r="B180" s="4">
        <v>26</v>
      </c>
      <c r="C180" s="4">
        <v>25</v>
      </c>
      <c r="D180" s="4">
        <v>26</v>
      </c>
      <c r="E180" s="4">
        <v>29</v>
      </c>
      <c r="F180" s="20">
        <v>32</v>
      </c>
      <c r="G180" s="4">
        <v>33</v>
      </c>
      <c r="H180" s="4">
        <v>33</v>
      </c>
      <c r="I180" s="4">
        <v>33</v>
      </c>
      <c r="J180" s="4">
        <v>34</v>
      </c>
      <c r="K180" s="4">
        <v>48</v>
      </c>
      <c r="L180" s="4">
        <v>49</v>
      </c>
      <c r="M180" s="4">
        <v>49</v>
      </c>
      <c r="N180" s="4">
        <v>50</v>
      </c>
      <c r="O180" s="4">
        <v>52</v>
      </c>
      <c r="P180" s="4">
        <v>56</v>
      </c>
      <c r="Q180" s="4">
        <v>58</v>
      </c>
      <c r="R180" s="4">
        <v>60</v>
      </c>
      <c r="S180" s="4">
        <v>63</v>
      </c>
      <c r="T180">
        <v>65</v>
      </c>
      <c r="U180">
        <v>67</v>
      </c>
      <c r="V180">
        <v>74</v>
      </c>
      <c r="W180">
        <v>76</v>
      </c>
      <c r="X180">
        <v>78</v>
      </c>
      <c r="Y180">
        <v>82</v>
      </c>
      <c r="Z180">
        <v>83</v>
      </c>
      <c r="AA180">
        <v>85</v>
      </c>
      <c r="AB180">
        <v>86</v>
      </c>
      <c r="AC180">
        <v>88</v>
      </c>
      <c r="AD180">
        <v>90</v>
      </c>
      <c r="AE180">
        <v>90</v>
      </c>
      <c r="AF180">
        <v>91</v>
      </c>
      <c r="AG180">
        <v>94</v>
      </c>
      <c r="AH180">
        <v>93</v>
      </c>
      <c r="AI180">
        <v>96</v>
      </c>
      <c r="AJ180">
        <v>89</v>
      </c>
      <c r="AK180">
        <v>89</v>
      </c>
      <c r="AL180">
        <v>88</v>
      </c>
    </row>
    <row r="181" spans="1:38" x14ac:dyDescent="0.2">
      <c r="A181" s="1" t="s">
        <v>128</v>
      </c>
      <c r="B181" s="4">
        <v>115</v>
      </c>
      <c r="C181" s="4">
        <v>115</v>
      </c>
      <c r="D181" s="4">
        <v>116</v>
      </c>
      <c r="E181" s="4">
        <v>114</v>
      </c>
      <c r="F181" s="20">
        <v>114</v>
      </c>
      <c r="G181" s="4">
        <v>115</v>
      </c>
      <c r="H181" s="4">
        <v>114</v>
      </c>
      <c r="I181" s="4">
        <v>115</v>
      </c>
      <c r="J181" s="4">
        <v>113</v>
      </c>
      <c r="K181" s="4">
        <v>107</v>
      </c>
      <c r="L181" s="4">
        <v>106</v>
      </c>
      <c r="M181" s="4">
        <v>106</v>
      </c>
      <c r="N181" s="4">
        <v>107</v>
      </c>
      <c r="O181" s="4">
        <v>108</v>
      </c>
      <c r="P181" s="4">
        <v>106</v>
      </c>
      <c r="Q181" s="4">
        <v>104</v>
      </c>
      <c r="R181" s="4">
        <v>104</v>
      </c>
      <c r="S181" s="4">
        <v>100</v>
      </c>
      <c r="T181">
        <v>98</v>
      </c>
      <c r="U181">
        <v>92</v>
      </c>
      <c r="V181">
        <v>80</v>
      </c>
      <c r="W181">
        <v>78</v>
      </c>
      <c r="X181">
        <v>74</v>
      </c>
      <c r="Y181">
        <v>59</v>
      </c>
      <c r="Z181">
        <v>48</v>
      </c>
      <c r="AA181">
        <v>45</v>
      </c>
      <c r="AB181">
        <v>44</v>
      </c>
      <c r="AC181">
        <v>39</v>
      </c>
      <c r="AD181">
        <v>34</v>
      </c>
      <c r="AE181">
        <v>35</v>
      </c>
      <c r="AF181">
        <v>33</v>
      </c>
      <c r="AG181">
        <v>27</v>
      </c>
      <c r="AH181">
        <v>26</v>
      </c>
      <c r="AI181">
        <v>24</v>
      </c>
      <c r="AJ181">
        <v>22</v>
      </c>
      <c r="AK181">
        <v>21</v>
      </c>
      <c r="AL181">
        <v>19</v>
      </c>
    </row>
    <row r="182" spans="1:38" x14ac:dyDescent="0.2">
      <c r="A182" s="4" t="s">
        <v>129</v>
      </c>
      <c r="B182" s="21">
        <v>1</v>
      </c>
      <c r="C182" s="21">
        <v>1</v>
      </c>
      <c r="D182" s="21">
        <v>1</v>
      </c>
      <c r="E182" s="21">
        <v>1</v>
      </c>
      <c r="F182" s="21">
        <v>1</v>
      </c>
      <c r="G182" s="9">
        <v>1</v>
      </c>
      <c r="H182" s="9">
        <v>1</v>
      </c>
      <c r="I182" s="9">
        <v>1</v>
      </c>
      <c r="J182" s="9">
        <v>1</v>
      </c>
      <c r="K182" s="9">
        <v>1</v>
      </c>
      <c r="L182" s="9">
        <v>1</v>
      </c>
      <c r="M182" s="9">
        <v>1</v>
      </c>
      <c r="N182" s="9">
        <v>1</v>
      </c>
      <c r="O182" s="9">
        <v>1</v>
      </c>
      <c r="P182" s="9">
        <v>1</v>
      </c>
      <c r="Q182" s="9">
        <v>1</v>
      </c>
      <c r="R182" s="9">
        <v>1</v>
      </c>
      <c r="S182" s="9">
        <v>1</v>
      </c>
      <c r="T182">
        <v>1</v>
      </c>
      <c r="U182">
        <v>1</v>
      </c>
      <c r="V182">
        <v>1</v>
      </c>
      <c r="W182">
        <v>2</v>
      </c>
      <c r="X182">
        <v>3</v>
      </c>
      <c r="Y182">
        <v>3</v>
      </c>
      <c r="Z182">
        <v>3</v>
      </c>
      <c r="AA182">
        <v>3</v>
      </c>
      <c r="AB182">
        <v>3</v>
      </c>
      <c r="AC182">
        <v>3</v>
      </c>
      <c r="AD182">
        <v>4</v>
      </c>
      <c r="AE182">
        <v>3</v>
      </c>
      <c r="AF182">
        <v>3</v>
      </c>
      <c r="AG182">
        <v>4</v>
      </c>
      <c r="AH182">
        <v>4</v>
      </c>
      <c r="AI182">
        <v>4</v>
      </c>
      <c r="AJ182">
        <v>3</v>
      </c>
      <c r="AK182">
        <v>3</v>
      </c>
      <c r="AL182">
        <v>3</v>
      </c>
    </row>
    <row r="183" spans="1:38" x14ac:dyDescent="0.2">
      <c r="A183" s="1" t="s">
        <v>130</v>
      </c>
      <c r="B183" s="4">
        <v>37</v>
      </c>
      <c r="C183" s="4">
        <v>37</v>
      </c>
      <c r="D183" s="4">
        <v>36</v>
      </c>
      <c r="E183" s="4">
        <v>37</v>
      </c>
      <c r="F183" s="20">
        <v>35</v>
      </c>
      <c r="G183" s="4">
        <v>35</v>
      </c>
      <c r="H183" s="4">
        <v>34</v>
      </c>
      <c r="I183" s="4">
        <v>34</v>
      </c>
      <c r="J183" s="4">
        <v>34</v>
      </c>
      <c r="K183" s="4">
        <v>28</v>
      </c>
      <c r="L183" s="4">
        <v>28</v>
      </c>
      <c r="M183" s="4">
        <v>28</v>
      </c>
      <c r="N183" s="4">
        <v>26</v>
      </c>
      <c r="O183" s="4">
        <v>22</v>
      </c>
      <c r="P183" s="4">
        <v>20</v>
      </c>
      <c r="Q183" s="4">
        <v>19</v>
      </c>
      <c r="R183" s="4">
        <v>17</v>
      </c>
      <c r="S183" s="4">
        <v>17</v>
      </c>
      <c r="T183">
        <v>17</v>
      </c>
      <c r="U183">
        <v>17</v>
      </c>
      <c r="V183">
        <v>13</v>
      </c>
      <c r="W183">
        <v>1</v>
      </c>
      <c r="X183">
        <v>1</v>
      </c>
      <c r="Y183" t="s">
        <v>139</v>
      </c>
      <c r="Z183" t="s">
        <v>139</v>
      </c>
      <c r="AA183" t="s">
        <v>139</v>
      </c>
      <c r="AB183" t="s">
        <v>139</v>
      </c>
      <c r="AC183" t="s">
        <v>139</v>
      </c>
      <c r="AD183" t="s">
        <v>139</v>
      </c>
      <c r="AE183" t="s">
        <v>139</v>
      </c>
      <c r="AF183" t="s">
        <v>139</v>
      </c>
      <c r="AG183" t="s">
        <v>139</v>
      </c>
      <c r="AH183" t="s">
        <v>139</v>
      </c>
      <c r="AI183" t="s">
        <v>139</v>
      </c>
      <c r="AJ183" t="s">
        <v>139</v>
      </c>
      <c r="AK183" t="s">
        <v>139</v>
      </c>
      <c r="AL183" t="s">
        <v>139</v>
      </c>
    </row>
    <row r="184" spans="1:38" x14ac:dyDescent="0.2">
      <c r="A184" s="4" t="s">
        <v>131</v>
      </c>
      <c r="B184" s="4">
        <v>3</v>
      </c>
      <c r="C184" s="4">
        <v>3</v>
      </c>
      <c r="D184" s="4">
        <v>3</v>
      </c>
      <c r="E184" s="4">
        <v>2</v>
      </c>
      <c r="F184" s="20">
        <v>2</v>
      </c>
      <c r="G184" s="4">
        <v>2</v>
      </c>
      <c r="H184" s="4">
        <v>2</v>
      </c>
      <c r="I184" s="4">
        <v>2</v>
      </c>
      <c r="J184" s="4">
        <v>2</v>
      </c>
      <c r="K184" s="4">
        <v>2</v>
      </c>
      <c r="L184" s="4">
        <v>2</v>
      </c>
      <c r="M184" s="4">
        <v>2</v>
      </c>
      <c r="N184" s="4">
        <v>2</v>
      </c>
      <c r="O184" s="4">
        <v>2</v>
      </c>
      <c r="P184" s="4">
        <v>1</v>
      </c>
      <c r="Q184" s="4">
        <v>1</v>
      </c>
      <c r="R184" s="4">
        <v>1</v>
      </c>
      <c r="S184" s="4">
        <v>1</v>
      </c>
      <c r="T184">
        <v>1</v>
      </c>
      <c r="U184">
        <v>2</v>
      </c>
      <c r="V184">
        <v>3</v>
      </c>
      <c r="W184">
        <v>3</v>
      </c>
      <c r="X184">
        <v>3</v>
      </c>
      <c r="Y184">
        <v>9</v>
      </c>
      <c r="Z184">
        <v>10</v>
      </c>
      <c r="AA184">
        <v>10</v>
      </c>
      <c r="AB184">
        <v>10</v>
      </c>
      <c r="AC184">
        <v>11</v>
      </c>
      <c r="AD184">
        <v>11</v>
      </c>
      <c r="AE184">
        <v>11</v>
      </c>
      <c r="AF184">
        <v>11</v>
      </c>
      <c r="AG184">
        <v>11</v>
      </c>
      <c r="AH184">
        <v>11</v>
      </c>
      <c r="AI184">
        <v>11</v>
      </c>
      <c r="AJ184">
        <v>5</v>
      </c>
      <c r="AK184">
        <v>5</v>
      </c>
      <c r="AL184">
        <v>5</v>
      </c>
    </row>
    <row r="185" spans="1:38" x14ac:dyDescent="0.2">
      <c r="A185" s="4" t="s">
        <v>132</v>
      </c>
      <c r="B185" s="4" t="s">
        <v>139</v>
      </c>
      <c r="C185" s="4" t="s">
        <v>139</v>
      </c>
      <c r="D185" s="4" t="s">
        <v>139</v>
      </c>
      <c r="E185" s="4" t="s">
        <v>139</v>
      </c>
      <c r="F185" s="20" t="s">
        <v>139</v>
      </c>
      <c r="G185" s="4" t="s">
        <v>139</v>
      </c>
      <c r="H185" s="4" t="s">
        <v>139</v>
      </c>
      <c r="I185" s="4" t="s">
        <v>139</v>
      </c>
      <c r="J185" s="4">
        <v>1</v>
      </c>
      <c r="K185" s="4">
        <v>1</v>
      </c>
      <c r="L185" s="4">
        <v>1</v>
      </c>
      <c r="M185" s="4">
        <v>1</v>
      </c>
      <c r="N185" s="4">
        <v>1</v>
      </c>
      <c r="O185" s="4">
        <v>1</v>
      </c>
      <c r="P185" s="4">
        <v>1</v>
      </c>
      <c r="Q185" s="4">
        <v>1</v>
      </c>
      <c r="R185" s="4">
        <v>1</v>
      </c>
      <c r="S185" s="4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2</v>
      </c>
      <c r="AK185">
        <v>2</v>
      </c>
      <c r="AL185">
        <v>1</v>
      </c>
    </row>
    <row r="186" spans="1:38" x14ac:dyDescent="0.2">
      <c r="A186" s="4" t="s">
        <v>133</v>
      </c>
      <c r="B186" s="4">
        <v>7</v>
      </c>
      <c r="C186" s="4">
        <v>7</v>
      </c>
      <c r="D186" s="4">
        <v>7</v>
      </c>
      <c r="E186" s="4">
        <v>7</v>
      </c>
      <c r="F186" s="20">
        <v>5</v>
      </c>
      <c r="G186" s="4">
        <v>5</v>
      </c>
      <c r="H186" s="4">
        <v>5</v>
      </c>
      <c r="I186" s="4">
        <v>3</v>
      </c>
      <c r="J186" s="4">
        <v>3</v>
      </c>
      <c r="K186" s="4">
        <v>2</v>
      </c>
      <c r="L186" s="4">
        <v>2</v>
      </c>
      <c r="M186" s="4">
        <v>2</v>
      </c>
      <c r="N186" s="4">
        <v>2</v>
      </c>
      <c r="O186" s="4">
        <v>2</v>
      </c>
      <c r="P186" s="4">
        <v>1</v>
      </c>
      <c r="Q186" s="4">
        <v>1</v>
      </c>
      <c r="R186" s="4">
        <v>1</v>
      </c>
      <c r="S186" s="4">
        <v>2</v>
      </c>
      <c r="T186">
        <v>2</v>
      </c>
      <c r="U186">
        <v>3</v>
      </c>
      <c r="V186">
        <v>4</v>
      </c>
      <c r="W186">
        <v>4</v>
      </c>
      <c r="X186">
        <v>5</v>
      </c>
      <c r="Y186">
        <v>10</v>
      </c>
      <c r="Z186">
        <v>19</v>
      </c>
      <c r="AA186">
        <v>18</v>
      </c>
      <c r="AB186">
        <v>18</v>
      </c>
      <c r="AC186">
        <v>17</v>
      </c>
      <c r="AD186">
        <v>19</v>
      </c>
      <c r="AE186">
        <v>19</v>
      </c>
      <c r="AF186">
        <v>18</v>
      </c>
      <c r="AG186">
        <v>20</v>
      </c>
      <c r="AH186">
        <v>20</v>
      </c>
      <c r="AI186">
        <v>20</v>
      </c>
      <c r="AJ186">
        <v>15</v>
      </c>
      <c r="AK186">
        <v>14</v>
      </c>
      <c r="AL186">
        <v>13</v>
      </c>
    </row>
    <row r="187" spans="1:38" x14ac:dyDescent="0.2">
      <c r="A187" s="4" t="s">
        <v>134</v>
      </c>
      <c r="B187" s="4">
        <v>1</v>
      </c>
      <c r="C187" s="4">
        <v>1</v>
      </c>
      <c r="D187" s="4">
        <v>1</v>
      </c>
      <c r="E187" s="4">
        <v>1</v>
      </c>
      <c r="F187" s="21">
        <v>1</v>
      </c>
      <c r="G187" s="9" t="s">
        <v>139</v>
      </c>
      <c r="H187" s="9">
        <v>1</v>
      </c>
      <c r="I187" s="9">
        <v>2</v>
      </c>
      <c r="J187" s="9">
        <v>2</v>
      </c>
      <c r="K187" s="9">
        <v>2</v>
      </c>
      <c r="L187" s="9">
        <v>2</v>
      </c>
      <c r="M187" s="9">
        <v>2</v>
      </c>
      <c r="N187" s="9">
        <v>2</v>
      </c>
      <c r="O187" s="9">
        <v>2</v>
      </c>
      <c r="P187" s="9">
        <v>2</v>
      </c>
      <c r="Q187" s="9">
        <v>2</v>
      </c>
      <c r="R187" s="9">
        <v>2</v>
      </c>
      <c r="S187" s="9">
        <v>2</v>
      </c>
      <c r="T187">
        <v>2</v>
      </c>
      <c r="U187">
        <v>2</v>
      </c>
      <c r="V187">
        <v>4</v>
      </c>
      <c r="W187">
        <v>5</v>
      </c>
      <c r="X187">
        <v>5</v>
      </c>
      <c r="Y187">
        <v>6</v>
      </c>
      <c r="Z187">
        <v>7</v>
      </c>
      <c r="AA187">
        <v>8</v>
      </c>
      <c r="AB187">
        <v>8</v>
      </c>
      <c r="AC187">
        <v>8</v>
      </c>
      <c r="AD187">
        <v>8</v>
      </c>
      <c r="AE187">
        <v>8</v>
      </c>
      <c r="AF187">
        <v>8</v>
      </c>
      <c r="AG187">
        <v>8</v>
      </c>
      <c r="AH187">
        <v>9</v>
      </c>
      <c r="AI187">
        <v>9</v>
      </c>
      <c r="AJ187">
        <v>9</v>
      </c>
      <c r="AK187">
        <v>9</v>
      </c>
      <c r="AL187">
        <v>9</v>
      </c>
    </row>
    <row r="188" spans="1:38" x14ac:dyDescent="0.2">
      <c r="A188" s="4" t="s">
        <v>135</v>
      </c>
      <c r="B188" s="21" t="s">
        <v>139</v>
      </c>
      <c r="C188" s="21" t="s">
        <v>139</v>
      </c>
      <c r="D188" s="21" t="s">
        <v>139</v>
      </c>
      <c r="E188" s="21" t="s">
        <v>139</v>
      </c>
      <c r="F188" s="21" t="s">
        <v>139</v>
      </c>
      <c r="G188" s="9" t="s">
        <v>139</v>
      </c>
      <c r="H188" s="9" t="s">
        <v>139</v>
      </c>
      <c r="I188" s="9" t="s">
        <v>139</v>
      </c>
      <c r="J188" s="9" t="s">
        <v>139</v>
      </c>
      <c r="K188" s="9" t="s">
        <v>139</v>
      </c>
      <c r="L188" s="9" t="s">
        <v>139</v>
      </c>
      <c r="M188" s="9" t="s">
        <v>139</v>
      </c>
      <c r="N188" s="9" t="s">
        <v>139</v>
      </c>
      <c r="O188" s="9" t="s">
        <v>139</v>
      </c>
      <c r="P188" s="9" t="s">
        <v>139</v>
      </c>
      <c r="Q188" s="9" t="s">
        <v>139</v>
      </c>
      <c r="R188" s="9" t="s">
        <v>139</v>
      </c>
      <c r="S188" s="9" t="s">
        <v>139</v>
      </c>
      <c r="T188" t="s">
        <v>139</v>
      </c>
      <c r="U188" t="s">
        <v>139</v>
      </c>
      <c r="V188" t="s">
        <v>139</v>
      </c>
      <c r="W188" t="s">
        <v>139</v>
      </c>
      <c r="X188" t="s">
        <v>139</v>
      </c>
      <c r="Y188" t="s">
        <v>139</v>
      </c>
      <c r="Z188" t="s">
        <v>139</v>
      </c>
      <c r="AA188" t="s">
        <v>139</v>
      </c>
      <c r="AB188" t="s">
        <v>139</v>
      </c>
      <c r="AC188" t="s">
        <v>139</v>
      </c>
      <c r="AD188" t="s">
        <v>139</v>
      </c>
      <c r="AE188" t="s">
        <v>139</v>
      </c>
      <c r="AF188" t="s">
        <v>139</v>
      </c>
      <c r="AG188" t="s">
        <v>139</v>
      </c>
      <c r="AH188" t="s">
        <v>139</v>
      </c>
      <c r="AI188" t="s">
        <v>139</v>
      </c>
      <c r="AJ188" t="s">
        <v>139</v>
      </c>
      <c r="AK188" t="s">
        <v>139</v>
      </c>
      <c r="AL188" t="s">
        <v>139</v>
      </c>
    </row>
    <row r="189" spans="1:38" x14ac:dyDescent="0.2">
      <c r="A189" s="4" t="s">
        <v>136</v>
      </c>
      <c r="B189" s="21">
        <v>4</v>
      </c>
      <c r="C189" s="21">
        <v>4</v>
      </c>
      <c r="D189" s="21">
        <v>4</v>
      </c>
      <c r="E189" s="21">
        <v>4</v>
      </c>
      <c r="F189" s="21">
        <v>4</v>
      </c>
      <c r="G189" s="22">
        <v>4</v>
      </c>
      <c r="H189" s="22">
        <v>4</v>
      </c>
      <c r="I189" s="22">
        <v>4</v>
      </c>
      <c r="J189" s="22">
        <v>4</v>
      </c>
      <c r="K189" s="22">
        <v>4</v>
      </c>
      <c r="L189" s="22">
        <v>4</v>
      </c>
      <c r="M189" s="22">
        <v>4</v>
      </c>
      <c r="N189" s="22">
        <v>4</v>
      </c>
      <c r="O189" s="22">
        <v>5</v>
      </c>
      <c r="P189" s="23">
        <v>5</v>
      </c>
      <c r="Q189" s="9">
        <v>5</v>
      </c>
      <c r="R189" s="9">
        <v>5</v>
      </c>
      <c r="S189" s="9">
        <v>5</v>
      </c>
      <c r="T189">
        <v>5</v>
      </c>
      <c r="U189">
        <v>6</v>
      </c>
      <c r="V189">
        <v>10</v>
      </c>
      <c r="W189">
        <v>10</v>
      </c>
      <c r="X189">
        <v>10</v>
      </c>
      <c r="Y189">
        <v>10</v>
      </c>
      <c r="Z189">
        <v>9</v>
      </c>
      <c r="AA189">
        <v>9</v>
      </c>
      <c r="AB189">
        <v>10</v>
      </c>
      <c r="AC189">
        <v>11</v>
      </c>
      <c r="AD189">
        <v>11</v>
      </c>
      <c r="AE189">
        <v>11</v>
      </c>
      <c r="AF189">
        <v>11</v>
      </c>
      <c r="AG189">
        <v>11</v>
      </c>
      <c r="AH189">
        <v>11</v>
      </c>
      <c r="AI189">
        <v>11</v>
      </c>
      <c r="AJ189">
        <v>10</v>
      </c>
      <c r="AK189">
        <v>10</v>
      </c>
      <c r="AL189">
        <v>10</v>
      </c>
    </row>
    <row r="190" spans="1:38" x14ac:dyDescent="0.2">
      <c r="A190" s="7" t="s">
        <v>137</v>
      </c>
      <c r="B190" s="8">
        <v>194</v>
      </c>
      <c r="C190" s="8">
        <v>193</v>
      </c>
      <c r="D190" s="8">
        <v>194</v>
      </c>
      <c r="E190" s="8">
        <v>195</v>
      </c>
      <c r="F190" s="8">
        <v>194</v>
      </c>
      <c r="G190" s="9">
        <v>195</v>
      </c>
      <c r="H190" s="4">
        <v>194</v>
      </c>
      <c r="I190" s="4">
        <v>194</v>
      </c>
      <c r="J190" s="4">
        <v>194</v>
      </c>
      <c r="K190" s="4">
        <v>195</v>
      </c>
      <c r="L190" s="4">
        <v>195</v>
      </c>
      <c r="M190" s="4">
        <v>195</v>
      </c>
      <c r="N190" s="4">
        <v>195</v>
      </c>
      <c r="O190" s="4">
        <v>195</v>
      </c>
      <c r="P190" s="4">
        <v>193</v>
      </c>
      <c r="Q190" s="4">
        <v>192</v>
      </c>
      <c r="R190" s="4">
        <v>192</v>
      </c>
      <c r="S190" s="4">
        <v>192</v>
      </c>
      <c r="T190">
        <v>192</v>
      </c>
      <c r="U190">
        <v>191</v>
      </c>
      <c r="V190">
        <v>190</v>
      </c>
      <c r="W190">
        <v>180</v>
      </c>
      <c r="X190">
        <v>180</v>
      </c>
      <c r="Y190">
        <v>180</v>
      </c>
      <c r="Z190">
        <v>180</v>
      </c>
      <c r="AA190">
        <v>179</v>
      </c>
      <c r="AB190">
        <v>180</v>
      </c>
      <c r="AC190">
        <v>178</v>
      </c>
      <c r="AD190">
        <v>178</v>
      </c>
      <c r="AE190">
        <v>178</v>
      </c>
      <c r="AF190">
        <v>176</v>
      </c>
      <c r="AG190">
        <v>176</v>
      </c>
      <c r="AH190">
        <v>175</v>
      </c>
      <c r="AI190">
        <v>176</v>
      </c>
      <c r="AJ190">
        <v>155</v>
      </c>
      <c r="AK190">
        <v>153</v>
      </c>
      <c r="AL190">
        <v>148</v>
      </c>
    </row>
    <row r="192" spans="1:38" ht="22" x14ac:dyDescent="0.3">
      <c r="A192" s="54" t="s">
        <v>148</v>
      </c>
    </row>
    <row r="193" spans="1:38" x14ac:dyDescent="0.2">
      <c r="A193" s="12" t="s">
        <v>101</v>
      </c>
      <c r="B193" s="13" t="s">
        <v>102</v>
      </c>
      <c r="C193" s="13" t="s">
        <v>103</v>
      </c>
      <c r="D193" s="13" t="s">
        <v>104</v>
      </c>
      <c r="E193" s="13" t="s">
        <v>105</v>
      </c>
      <c r="F193" s="13" t="s">
        <v>106</v>
      </c>
      <c r="G193" s="13" t="s">
        <v>107</v>
      </c>
      <c r="H193" s="13" t="s">
        <v>108</v>
      </c>
      <c r="I193" s="13" t="s">
        <v>109</v>
      </c>
      <c r="J193" s="13" t="s">
        <v>110</v>
      </c>
      <c r="K193" s="13" t="s">
        <v>111</v>
      </c>
      <c r="L193" s="13" t="s">
        <v>112</v>
      </c>
      <c r="M193" s="13" t="s">
        <v>113</v>
      </c>
      <c r="N193" s="13" t="s">
        <v>114</v>
      </c>
      <c r="O193" s="13" t="s">
        <v>115</v>
      </c>
      <c r="P193" s="13" t="s">
        <v>116</v>
      </c>
      <c r="Q193" s="13" t="s">
        <v>117</v>
      </c>
      <c r="R193" s="13" t="s">
        <v>118</v>
      </c>
      <c r="S193" s="13" t="s">
        <v>119</v>
      </c>
      <c r="T193" s="13" t="s">
        <v>120</v>
      </c>
      <c r="U193" s="13" t="s">
        <v>121</v>
      </c>
      <c r="V193" s="13" t="s">
        <v>122</v>
      </c>
      <c r="W193" s="13" t="s">
        <v>123</v>
      </c>
      <c r="X193" s="13" t="s">
        <v>124</v>
      </c>
      <c r="Y193" s="13" t="s">
        <v>125</v>
      </c>
      <c r="Z193" s="13" t="s">
        <v>205</v>
      </c>
      <c r="AA193" s="13" t="s">
        <v>206</v>
      </c>
      <c r="AB193" s="13" t="s">
        <v>207</v>
      </c>
      <c r="AC193" s="13" t="s">
        <v>208</v>
      </c>
      <c r="AD193" s="80" t="s">
        <v>210</v>
      </c>
      <c r="AE193" s="80" t="s">
        <v>211</v>
      </c>
      <c r="AF193" s="80" t="s">
        <v>212</v>
      </c>
      <c r="AG193" s="88" t="s">
        <v>213</v>
      </c>
      <c r="AH193" s="88" t="s">
        <v>214</v>
      </c>
      <c r="AI193" s="88" t="s">
        <v>215</v>
      </c>
      <c r="AJ193" s="88" t="s">
        <v>216</v>
      </c>
      <c r="AK193" s="88" t="s">
        <v>217</v>
      </c>
      <c r="AL193" s="88" t="s">
        <v>218</v>
      </c>
    </row>
    <row r="194" spans="1:38" x14ac:dyDescent="0.2">
      <c r="A194" s="1" t="s">
        <v>10</v>
      </c>
      <c r="B194" s="2">
        <v>0.2797</v>
      </c>
      <c r="C194" s="2">
        <v>0.2797</v>
      </c>
      <c r="D194" s="2">
        <v>0.29409999999999997</v>
      </c>
      <c r="E194" s="25">
        <v>0.29409999999999997</v>
      </c>
      <c r="F194" s="25">
        <v>0.29409999999999997</v>
      </c>
      <c r="G194" s="3">
        <v>0.29409999999999997</v>
      </c>
      <c r="H194" s="2">
        <v>0.33329999999999999</v>
      </c>
      <c r="I194" s="2">
        <v>0.33329999999999999</v>
      </c>
      <c r="J194" s="2">
        <v>0.33610000000000001</v>
      </c>
      <c r="K194" s="2">
        <v>0.33329999999999999</v>
      </c>
      <c r="L194" s="2">
        <v>0.32790000000000002</v>
      </c>
      <c r="M194" s="2">
        <v>0.33329999999999999</v>
      </c>
      <c r="N194" s="2">
        <v>0.33610000000000001</v>
      </c>
      <c r="O194" s="2">
        <v>0.35249999999999998</v>
      </c>
      <c r="P194" s="2">
        <v>0.375</v>
      </c>
      <c r="Q194" s="2">
        <v>0.375</v>
      </c>
      <c r="R194" s="2">
        <v>0.38840000000000002</v>
      </c>
      <c r="S194" s="2">
        <v>0.39829999999999999</v>
      </c>
      <c r="T194" s="78">
        <v>0.4103</v>
      </c>
      <c r="U194" s="78">
        <v>0.4103</v>
      </c>
      <c r="V194" s="78">
        <v>0.4138</v>
      </c>
      <c r="W194" s="78">
        <v>0.43099999999999999</v>
      </c>
      <c r="X194" s="78">
        <v>0.43480000000000002</v>
      </c>
      <c r="Y194" s="78">
        <v>0.43859999999999999</v>
      </c>
      <c r="Z194" s="78">
        <v>0.43859999999999999</v>
      </c>
      <c r="AA194" s="78">
        <v>0.52829999999999999</v>
      </c>
      <c r="AB194" s="78">
        <v>0.54810000000000003</v>
      </c>
      <c r="AC194" s="78">
        <v>0.5534</v>
      </c>
      <c r="AD194" s="78">
        <v>0.5534</v>
      </c>
      <c r="AE194" s="85">
        <v>0.54899999999999993</v>
      </c>
      <c r="AF194" s="85">
        <v>0.57140000000000002</v>
      </c>
      <c r="AG194" s="85">
        <v>0.65980000000000005</v>
      </c>
      <c r="AH194" s="85">
        <v>0.65980000000000005</v>
      </c>
      <c r="AI194" s="85">
        <v>0.72829999999999995</v>
      </c>
      <c r="AJ194" s="85">
        <v>0.75</v>
      </c>
      <c r="AK194" s="85">
        <v>0.79760000000000009</v>
      </c>
      <c r="AL194" s="85">
        <v>0.79760000000000009</v>
      </c>
    </row>
    <row r="196" spans="1:38" x14ac:dyDescent="0.2">
      <c r="A196" s="12" t="s">
        <v>126</v>
      </c>
      <c r="B196" s="13" t="s">
        <v>102</v>
      </c>
      <c r="C196" s="13" t="s">
        <v>103</v>
      </c>
      <c r="D196" s="13" t="s">
        <v>104</v>
      </c>
      <c r="E196" s="13" t="s">
        <v>105</v>
      </c>
      <c r="F196" s="13" t="s">
        <v>106</v>
      </c>
      <c r="G196" s="13" t="s">
        <v>107</v>
      </c>
      <c r="H196" s="13" t="s">
        <v>108</v>
      </c>
      <c r="I196" s="13" t="s">
        <v>109</v>
      </c>
      <c r="J196" s="13" t="s">
        <v>110</v>
      </c>
      <c r="K196" s="13" t="s">
        <v>111</v>
      </c>
      <c r="L196" s="13" t="s">
        <v>112</v>
      </c>
      <c r="M196" s="13" t="s">
        <v>113</v>
      </c>
      <c r="N196" s="13" t="s">
        <v>114</v>
      </c>
      <c r="O196" s="13" t="s">
        <v>115</v>
      </c>
      <c r="P196" s="13" t="s">
        <v>116</v>
      </c>
      <c r="Q196" s="13" t="s">
        <v>117</v>
      </c>
      <c r="R196" s="13" t="s">
        <v>118</v>
      </c>
      <c r="S196" s="13" t="s">
        <v>119</v>
      </c>
      <c r="T196" s="13" t="s">
        <v>120</v>
      </c>
      <c r="U196" s="13" t="s">
        <v>121</v>
      </c>
      <c r="V196" s="13" t="s">
        <v>122</v>
      </c>
      <c r="W196" s="13" t="s">
        <v>123</v>
      </c>
      <c r="X196" s="13" t="s">
        <v>124</v>
      </c>
      <c r="Y196" s="13" t="s">
        <v>125</v>
      </c>
      <c r="Z196" s="13" t="s">
        <v>205</v>
      </c>
      <c r="AA196" s="13" t="s">
        <v>206</v>
      </c>
      <c r="AB196" s="13" t="s">
        <v>207</v>
      </c>
      <c r="AC196" s="13" t="s">
        <v>208</v>
      </c>
      <c r="AD196" s="80" t="s">
        <v>210</v>
      </c>
      <c r="AE196" s="80" t="s">
        <v>211</v>
      </c>
      <c r="AF196" s="80" t="s">
        <v>212</v>
      </c>
      <c r="AG196" s="88" t="s">
        <v>213</v>
      </c>
      <c r="AH196" s="88" t="s">
        <v>214</v>
      </c>
      <c r="AI196" s="88" t="s">
        <v>215</v>
      </c>
      <c r="AJ196" s="88" t="s">
        <v>216</v>
      </c>
      <c r="AK196" s="88" t="s">
        <v>217</v>
      </c>
      <c r="AL196" s="88" t="s">
        <v>218</v>
      </c>
    </row>
    <row r="197" spans="1:38" x14ac:dyDescent="0.2">
      <c r="A197" s="1" t="s">
        <v>127</v>
      </c>
      <c r="B197" s="4">
        <v>33</v>
      </c>
      <c r="C197" s="4">
        <v>33</v>
      </c>
      <c r="D197" s="4">
        <v>35</v>
      </c>
      <c r="E197" s="4">
        <v>35</v>
      </c>
      <c r="F197" s="20">
        <v>35</v>
      </c>
      <c r="G197" s="4">
        <v>35</v>
      </c>
      <c r="H197" s="4">
        <v>41</v>
      </c>
      <c r="I197" s="4">
        <v>41</v>
      </c>
      <c r="J197" s="4">
        <v>41</v>
      </c>
      <c r="K197" s="4">
        <v>41</v>
      </c>
      <c r="L197" s="4">
        <v>40</v>
      </c>
      <c r="M197" s="4">
        <v>41</v>
      </c>
      <c r="N197" s="4">
        <v>41</v>
      </c>
      <c r="O197" s="4">
        <v>43</v>
      </c>
      <c r="P197" s="4">
        <v>45</v>
      </c>
      <c r="Q197" s="4">
        <v>45</v>
      </c>
      <c r="R197" s="4">
        <v>47</v>
      </c>
      <c r="S197" s="4">
        <v>47</v>
      </c>
      <c r="T197">
        <v>48</v>
      </c>
      <c r="U197">
        <v>48</v>
      </c>
      <c r="V197">
        <v>48</v>
      </c>
      <c r="W197">
        <v>50</v>
      </c>
      <c r="X197">
        <v>50</v>
      </c>
      <c r="Y197">
        <v>50</v>
      </c>
      <c r="Z197">
        <v>50</v>
      </c>
      <c r="AA197">
        <v>56</v>
      </c>
      <c r="AB197">
        <v>57</v>
      </c>
      <c r="AC197">
        <v>57</v>
      </c>
      <c r="AD197">
        <v>57</v>
      </c>
      <c r="AE197">
        <v>56</v>
      </c>
      <c r="AF197">
        <v>56</v>
      </c>
      <c r="AG197">
        <v>64</v>
      </c>
      <c r="AH197">
        <v>64</v>
      </c>
      <c r="AI197">
        <v>67</v>
      </c>
      <c r="AJ197">
        <v>66</v>
      </c>
      <c r="AK197">
        <v>67</v>
      </c>
      <c r="AL197">
        <v>67</v>
      </c>
    </row>
    <row r="198" spans="1:38" x14ac:dyDescent="0.2">
      <c r="A198" s="1" t="s">
        <v>128</v>
      </c>
      <c r="B198" s="4">
        <v>22</v>
      </c>
      <c r="C198" s="4">
        <v>22</v>
      </c>
      <c r="D198" s="4">
        <v>22</v>
      </c>
      <c r="E198" s="4">
        <v>22</v>
      </c>
      <c r="F198" s="20">
        <v>22</v>
      </c>
      <c r="G198" s="4">
        <v>22</v>
      </c>
      <c r="H198" s="4">
        <v>21</v>
      </c>
      <c r="I198" s="4">
        <v>21</v>
      </c>
      <c r="J198" s="4">
        <v>22</v>
      </c>
      <c r="K198" s="4">
        <v>24</v>
      </c>
      <c r="L198" s="4">
        <v>25</v>
      </c>
      <c r="M198" s="4">
        <v>26</v>
      </c>
      <c r="N198" s="4">
        <v>30</v>
      </c>
      <c r="O198" s="4">
        <v>32</v>
      </c>
      <c r="P198" s="4">
        <v>35</v>
      </c>
      <c r="Q198" s="4">
        <v>35</v>
      </c>
      <c r="R198" s="4">
        <v>34</v>
      </c>
      <c r="S198" s="4">
        <v>34</v>
      </c>
      <c r="T198">
        <v>35</v>
      </c>
      <c r="U198">
        <v>35</v>
      </c>
      <c r="V198">
        <v>35</v>
      </c>
      <c r="W198">
        <v>33</v>
      </c>
      <c r="X198">
        <v>33</v>
      </c>
      <c r="Y198">
        <v>33</v>
      </c>
      <c r="Z198">
        <v>33</v>
      </c>
      <c r="AA198">
        <v>31</v>
      </c>
      <c r="AB198">
        <v>31</v>
      </c>
      <c r="AC198">
        <v>32</v>
      </c>
      <c r="AD198">
        <v>32</v>
      </c>
      <c r="AE198">
        <v>33</v>
      </c>
      <c r="AF198">
        <v>29</v>
      </c>
      <c r="AG198">
        <v>21</v>
      </c>
      <c r="AH198">
        <v>22</v>
      </c>
      <c r="AI198">
        <v>17</v>
      </c>
      <c r="AJ198">
        <v>16</v>
      </c>
      <c r="AK198">
        <v>12</v>
      </c>
      <c r="AL198">
        <v>12</v>
      </c>
    </row>
    <row r="199" spans="1:38" x14ac:dyDescent="0.2">
      <c r="A199" s="4" t="s">
        <v>129</v>
      </c>
      <c r="B199" s="21" t="s">
        <v>139</v>
      </c>
      <c r="C199" s="21" t="s">
        <v>139</v>
      </c>
      <c r="D199" s="21" t="s">
        <v>139</v>
      </c>
      <c r="E199" s="21" t="s">
        <v>139</v>
      </c>
      <c r="F199" s="21" t="s">
        <v>139</v>
      </c>
      <c r="G199" s="9" t="s">
        <v>139</v>
      </c>
      <c r="H199" s="9" t="s">
        <v>139</v>
      </c>
      <c r="I199" s="9" t="s">
        <v>139</v>
      </c>
      <c r="J199" s="9" t="s">
        <v>139</v>
      </c>
      <c r="K199" s="9" t="s">
        <v>139</v>
      </c>
      <c r="L199" s="9" t="s">
        <v>139</v>
      </c>
      <c r="M199" s="9" t="s">
        <v>139</v>
      </c>
      <c r="N199" s="9" t="s">
        <v>139</v>
      </c>
      <c r="O199" s="9" t="s">
        <v>139</v>
      </c>
      <c r="P199" s="9" t="s">
        <v>139</v>
      </c>
      <c r="Q199" s="9" t="s">
        <v>139</v>
      </c>
      <c r="R199" s="9" t="s">
        <v>139</v>
      </c>
      <c r="S199" s="9" t="s">
        <v>139</v>
      </c>
      <c r="T199" t="s">
        <v>139</v>
      </c>
      <c r="U199" t="s">
        <v>139</v>
      </c>
      <c r="V199" t="s">
        <v>139</v>
      </c>
      <c r="W199" t="s">
        <v>139</v>
      </c>
      <c r="X199" t="s">
        <v>139</v>
      </c>
      <c r="Y199" t="s">
        <v>139</v>
      </c>
      <c r="Z199" t="s">
        <v>139</v>
      </c>
      <c r="AA199" t="s">
        <v>139</v>
      </c>
      <c r="AB199" t="s">
        <v>139</v>
      </c>
      <c r="AC199" t="s">
        <v>139</v>
      </c>
      <c r="AD199" t="s">
        <v>139</v>
      </c>
      <c r="AE199" t="s">
        <v>139</v>
      </c>
      <c r="AF199" t="s">
        <v>139</v>
      </c>
      <c r="AG199" t="s">
        <v>139</v>
      </c>
      <c r="AH199" t="s">
        <v>139</v>
      </c>
      <c r="AI199" t="s">
        <v>139</v>
      </c>
      <c r="AJ199" t="s">
        <v>139</v>
      </c>
      <c r="AK199" t="s">
        <v>139</v>
      </c>
      <c r="AL199" t="s">
        <v>139</v>
      </c>
    </row>
    <row r="200" spans="1:38" x14ac:dyDescent="0.2">
      <c r="A200" s="1" t="s">
        <v>130</v>
      </c>
      <c r="B200" s="4">
        <v>63</v>
      </c>
      <c r="C200" s="4">
        <v>63</v>
      </c>
      <c r="D200" s="4">
        <v>62</v>
      </c>
      <c r="E200" s="4">
        <v>62</v>
      </c>
      <c r="F200" s="20">
        <v>62</v>
      </c>
      <c r="G200" s="4">
        <v>62</v>
      </c>
      <c r="H200" s="4">
        <v>61</v>
      </c>
      <c r="I200" s="4">
        <v>61</v>
      </c>
      <c r="J200" s="4">
        <v>59</v>
      </c>
      <c r="K200" s="4">
        <v>58</v>
      </c>
      <c r="L200" s="4">
        <v>57</v>
      </c>
      <c r="M200" s="4">
        <v>56</v>
      </c>
      <c r="N200" s="4">
        <v>51</v>
      </c>
      <c r="O200" s="4">
        <v>47</v>
      </c>
      <c r="P200" s="4">
        <v>40</v>
      </c>
      <c r="Q200" s="4">
        <v>40</v>
      </c>
      <c r="R200" s="4">
        <v>40</v>
      </c>
      <c r="S200" s="4">
        <v>37</v>
      </c>
      <c r="T200">
        <v>34</v>
      </c>
      <c r="U200">
        <v>34</v>
      </c>
      <c r="V200">
        <v>33</v>
      </c>
      <c r="W200">
        <v>33</v>
      </c>
      <c r="X200">
        <v>32</v>
      </c>
      <c r="Y200">
        <v>31</v>
      </c>
      <c r="Z200">
        <v>31</v>
      </c>
      <c r="AA200">
        <v>19</v>
      </c>
      <c r="AB200">
        <v>16</v>
      </c>
      <c r="AC200">
        <v>14</v>
      </c>
      <c r="AD200">
        <v>14</v>
      </c>
      <c r="AE200">
        <v>13</v>
      </c>
      <c r="AF200">
        <v>13</v>
      </c>
      <c r="AG200">
        <v>12</v>
      </c>
      <c r="AH200">
        <v>11</v>
      </c>
      <c r="AI200">
        <v>8</v>
      </c>
      <c r="AJ200">
        <v>6</v>
      </c>
      <c r="AK200">
        <v>5</v>
      </c>
      <c r="AL200">
        <v>5</v>
      </c>
    </row>
    <row r="201" spans="1:38" x14ac:dyDescent="0.2">
      <c r="A201" s="4" t="s">
        <v>131</v>
      </c>
      <c r="B201" s="4">
        <v>5</v>
      </c>
      <c r="C201" s="4">
        <v>5</v>
      </c>
      <c r="D201" s="4">
        <v>5</v>
      </c>
      <c r="E201" s="4">
        <v>5</v>
      </c>
      <c r="F201" s="20">
        <v>5</v>
      </c>
      <c r="G201" s="4">
        <v>5</v>
      </c>
      <c r="H201" s="4">
        <v>6</v>
      </c>
      <c r="I201" s="4">
        <v>6</v>
      </c>
      <c r="J201" s="4">
        <v>7</v>
      </c>
      <c r="K201" s="4">
        <v>7</v>
      </c>
      <c r="L201" s="4">
        <v>7</v>
      </c>
      <c r="M201" s="4">
        <v>7</v>
      </c>
      <c r="N201" s="4">
        <v>8</v>
      </c>
      <c r="O201" s="4">
        <v>8</v>
      </c>
      <c r="P201" s="4">
        <v>8</v>
      </c>
      <c r="Q201" s="4">
        <v>8</v>
      </c>
      <c r="R201" s="4">
        <v>8</v>
      </c>
      <c r="S201" s="4">
        <v>8</v>
      </c>
      <c r="T201">
        <v>8</v>
      </c>
      <c r="U201">
        <v>8</v>
      </c>
      <c r="V201">
        <v>8</v>
      </c>
      <c r="W201">
        <v>8</v>
      </c>
      <c r="X201">
        <v>9</v>
      </c>
      <c r="Y201">
        <v>9</v>
      </c>
      <c r="Z201">
        <v>9</v>
      </c>
      <c r="AA201">
        <v>10</v>
      </c>
      <c r="AB201">
        <v>10</v>
      </c>
      <c r="AC201">
        <v>9</v>
      </c>
      <c r="AD201">
        <v>9</v>
      </c>
      <c r="AE201">
        <v>9</v>
      </c>
      <c r="AF201">
        <v>9</v>
      </c>
      <c r="AG201">
        <v>9</v>
      </c>
      <c r="AH201">
        <v>8</v>
      </c>
      <c r="AI201">
        <v>11</v>
      </c>
      <c r="AJ201">
        <v>11</v>
      </c>
      <c r="AK201">
        <v>11</v>
      </c>
      <c r="AL201">
        <v>11</v>
      </c>
    </row>
    <row r="202" spans="1:38" x14ac:dyDescent="0.2">
      <c r="A202" s="4" t="s">
        <v>132</v>
      </c>
      <c r="B202" s="4" t="s">
        <v>139</v>
      </c>
      <c r="C202" s="4" t="s">
        <v>139</v>
      </c>
      <c r="D202" s="4" t="s">
        <v>139</v>
      </c>
      <c r="E202" s="4" t="s">
        <v>139</v>
      </c>
      <c r="F202" s="20" t="s">
        <v>139</v>
      </c>
      <c r="G202" s="4" t="s">
        <v>139</v>
      </c>
      <c r="H202" s="4" t="s">
        <v>139</v>
      </c>
      <c r="I202" s="4" t="s">
        <v>139</v>
      </c>
      <c r="J202" s="4" t="s">
        <v>139</v>
      </c>
      <c r="K202" s="4" t="s">
        <v>139</v>
      </c>
      <c r="L202" s="4" t="s">
        <v>139</v>
      </c>
      <c r="M202" s="4" t="s">
        <v>139</v>
      </c>
      <c r="N202" s="4" t="s">
        <v>139</v>
      </c>
      <c r="O202" s="4" t="s">
        <v>139</v>
      </c>
      <c r="P202" s="4" t="s">
        <v>139</v>
      </c>
      <c r="Q202" s="4" t="s">
        <v>139</v>
      </c>
      <c r="R202" s="4" t="s">
        <v>139</v>
      </c>
      <c r="S202" s="4" t="s">
        <v>139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1</v>
      </c>
    </row>
    <row r="203" spans="1:38" x14ac:dyDescent="0.2">
      <c r="A203" s="4" t="s">
        <v>133</v>
      </c>
      <c r="B203" s="4">
        <v>1</v>
      </c>
      <c r="C203" s="4">
        <v>1</v>
      </c>
      <c r="D203" s="4">
        <v>1</v>
      </c>
      <c r="E203" s="4">
        <v>1</v>
      </c>
      <c r="F203" s="20">
        <v>1</v>
      </c>
      <c r="G203" s="4">
        <v>1</v>
      </c>
      <c r="H203" s="4">
        <v>1</v>
      </c>
      <c r="I203" s="4">
        <v>1</v>
      </c>
      <c r="J203" s="4">
        <v>1</v>
      </c>
      <c r="K203" s="4">
        <v>1</v>
      </c>
      <c r="L203" s="4">
        <v>1</v>
      </c>
      <c r="M203" s="4">
        <v>1</v>
      </c>
      <c r="N203" s="4">
        <v>1</v>
      </c>
      <c r="O203" s="4">
        <v>2</v>
      </c>
      <c r="P203" s="4">
        <v>2</v>
      </c>
      <c r="Q203" s="4">
        <v>2</v>
      </c>
      <c r="R203" s="4">
        <v>2</v>
      </c>
      <c r="S203" s="4">
        <v>2</v>
      </c>
      <c r="T203">
        <v>2</v>
      </c>
      <c r="U203">
        <v>2</v>
      </c>
      <c r="V203">
        <v>2</v>
      </c>
      <c r="W203">
        <v>2</v>
      </c>
      <c r="X203">
        <v>2</v>
      </c>
      <c r="Y203">
        <v>2</v>
      </c>
      <c r="Z203">
        <v>2</v>
      </c>
      <c r="AA203">
        <v>2</v>
      </c>
      <c r="AB203">
        <v>2</v>
      </c>
      <c r="AC203">
        <v>2</v>
      </c>
      <c r="AD203">
        <v>2</v>
      </c>
      <c r="AE203">
        <v>2</v>
      </c>
      <c r="AF203">
        <v>2</v>
      </c>
      <c r="AG203">
        <v>3</v>
      </c>
      <c r="AH203">
        <v>4</v>
      </c>
      <c r="AI203">
        <v>5</v>
      </c>
      <c r="AJ203">
        <v>7</v>
      </c>
      <c r="AK203">
        <v>8</v>
      </c>
      <c r="AL203">
        <v>8</v>
      </c>
    </row>
    <row r="204" spans="1:38" x14ac:dyDescent="0.2">
      <c r="A204" s="4" t="s">
        <v>134</v>
      </c>
      <c r="B204" s="4" t="s">
        <v>139</v>
      </c>
      <c r="C204" s="4" t="s">
        <v>139</v>
      </c>
      <c r="D204" s="4" t="s">
        <v>139</v>
      </c>
      <c r="E204" s="4" t="s">
        <v>139</v>
      </c>
      <c r="F204" s="21" t="s">
        <v>139</v>
      </c>
      <c r="G204" s="9" t="s">
        <v>139</v>
      </c>
      <c r="H204" s="9" t="s">
        <v>139</v>
      </c>
      <c r="I204" s="9" t="s">
        <v>139</v>
      </c>
      <c r="J204" s="9" t="s">
        <v>139</v>
      </c>
      <c r="K204" s="9" t="s">
        <v>139</v>
      </c>
      <c r="L204" s="9" t="s">
        <v>139</v>
      </c>
      <c r="M204" s="9" t="s">
        <v>139</v>
      </c>
      <c r="N204" s="9" t="s">
        <v>139</v>
      </c>
      <c r="O204" s="9" t="s">
        <v>139</v>
      </c>
      <c r="P204" s="9" t="s">
        <v>139</v>
      </c>
      <c r="Q204" s="9" t="s">
        <v>139</v>
      </c>
      <c r="R204" s="9" t="s">
        <v>139</v>
      </c>
      <c r="S204" s="9" t="s">
        <v>139</v>
      </c>
      <c r="T204" t="s">
        <v>139</v>
      </c>
      <c r="U204" t="s">
        <v>139</v>
      </c>
      <c r="V204" t="s">
        <v>139</v>
      </c>
      <c r="W204" t="s">
        <v>139</v>
      </c>
      <c r="X204" t="s">
        <v>139</v>
      </c>
      <c r="Y204" t="s">
        <v>139</v>
      </c>
      <c r="Z204" t="s">
        <v>139</v>
      </c>
      <c r="AA204" t="s">
        <v>139</v>
      </c>
      <c r="AB204" t="s">
        <v>139</v>
      </c>
      <c r="AC204" t="s">
        <v>139</v>
      </c>
      <c r="AD204" t="s">
        <v>139</v>
      </c>
      <c r="AE204" t="s">
        <v>139</v>
      </c>
      <c r="AF204" t="s">
        <v>139</v>
      </c>
      <c r="AG204" t="s">
        <v>139</v>
      </c>
      <c r="AH204" t="s">
        <v>139</v>
      </c>
      <c r="AI204" t="s">
        <v>139</v>
      </c>
      <c r="AJ204" t="s">
        <v>139</v>
      </c>
      <c r="AK204" t="s">
        <v>139</v>
      </c>
      <c r="AL204" t="s">
        <v>139</v>
      </c>
    </row>
    <row r="205" spans="1:38" x14ac:dyDescent="0.2">
      <c r="A205" s="4" t="s">
        <v>135</v>
      </c>
      <c r="B205" s="21" t="s">
        <v>139</v>
      </c>
      <c r="C205" s="21" t="s">
        <v>139</v>
      </c>
      <c r="D205" s="21" t="s">
        <v>139</v>
      </c>
      <c r="E205" s="21" t="s">
        <v>139</v>
      </c>
      <c r="F205" s="21" t="s">
        <v>139</v>
      </c>
      <c r="G205" s="9" t="s">
        <v>139</v>
      </c>
      <c r="H205" s="9" t="s">
        <v>139</v>
      </c>
      <c r="I205" s="9" t="s">
        <v>139</v>
      </c>
      <c r="J205" s="9" t="s">
        <v>139</v>
      </c>
      <c r="K205" s="9" t="s">
        <v>139</v>
      </c>
      <c r="L205" s="9" t="s">
        <v>139</v>
      </c>
      <c r="M205" s="9" t="s">
        <v>139</v>
      </c>
      <c r="N205" s="9" t="s">
        <v>139</v>
      </c>
      <c r="O205" s="9" t="s">
        <v>139</v>
      </c>
      <c r="P205" s="9" t="s">
        <v>139</v>
      </c>
      <c r="Q205" s="9" t="s">
        <v>139</v>
      </c>
      <c r="R205" s="9" t="s">
        <v>139</v>
      </c>
      <c r="S205" s="9" t="s">
        <v>139</v>
      </c>
      <c r="T205" t="s">
        <v>139</v>
      </c>
      <c r="U205" t="s">
        <v>139</v>
      </c>
      <c r="V205" t="s">
        <v>139</v>
      </c>
      <c r="W205" t="s">
        <v>139</v>
      </c>
      <c r="X205" t="s">
        <v>139</v>
      </c>
      <c r="Y205" t="s">
        <v>139</v>
      </c>
      <c r="Z205" t="s">
        <v>139</v>
      </c>
      <c r="AA205" t="s">
        <v>139</v>
      </c>
      <c r="AB205" t="s">
        <v>139</v>
      </c>
      <c r="AC205" t="s">
        <v>139</v>
      </c>
      <c r="AD205" t="s">
        <v>139</v>
      </c>
      <c r="AE205" t="s">
        <v>139</v>
      </c>
      <c r="AF205" t="s">
        <v>139</v>
      </c>
      <c r="AG205" t="s">
        <v>139</v>
      </c>
      <c r="AH205" t="s">
        <v>139</v>
      </c>
      <c r="AI205" t="s">
        <v>139</v>
      </c>
      <c r="AJ205" t="s">
        <v>139</v>
      </c>
      <c r="AK205" t="s">
        <v>139</v>
      </c>
      <c r="AL205" t="s">
        <v>139</v>
      </c>
    </row>
    <row r="206" spans="1:38" x14ac:dyDescent="0.2">
      <c r="A206" s="4" t="s">
        <v>136</v>
      </c>
      <c r="B206" s="21">
        <v>5</v>
      </c>
      <c r="C206" s="21">
        <v>5</v>
      </c>
      <c r="D206" s="21">
        <v>5</v>
      </c>
      <c r="E206" s="21">
        <v>5</v>
      </c>
      <c r="F206" s="21">
        <v>5</v>
      </c>
      <c r="G206" s="22">
        <v>5</v>
      </c>
      <c r="H206" s="22">
        <v>10</v>
      </c>
      <c r="I206" s="22">
        <v>10</v>
      </c>
      <c r="J206" s="22">
        <v>10</v>
      </c>
      <c r="K206" s="22">
        <v>9</v>
      </c>
      <c r="L206" s="22">
        <v>9</v>
      </c>
      <c r="M206" s="22">
        <v>8</v>
      </c>
      <c r="N206" s="22">
        <v>8</v>
      </c>
      <c r="O206" s="22">
        <v>8</v>
      </c>
      <c r="P206" s="23">
        <v>9</v>
      </c>
      <c r="Q206" s="9">
        <v>9</v>
      </c>
      <c r="R206" s="9">
        <v>9</v>
      </c>
      <c r="S206" s="9">
        <v>9</v>
      </c>
      <c r="T206">
        <v>9</v>
      </c>
      <c r="U206">
        <v>9</v>
      </c>
      <c r="V206">
        <v>10</v>
      </c>
      <c r="W206">
        <v>10</v>
      </c>
      <c r="X206">
        <v>10</v>
      </c>
      <c r="Y206">
        <v>10</v>
      </c>
      <c r="Z206">
        <v>10</v>
      </c>
      <c r="AA206">
        <v>11</v>
      </c>
      <c r="AB206">
        <v>12</v>
      </c>
      <c r="AC206">
        <v>11</v>
      </c>
      <c r="AD206">
        <v>11</v>
      </c>
      <c r="AE206">
        <v>11</v>
      </c>
      <c r="AF206">
        <v>12</v>
      </c>
      <c r="AG206">
        <v>12</v>
      </c>
      <c r="AH206">
        <v>12</v>
      </c>
      <c r="AI206">
        <v>12</v>
      </c>
      <c r="AJ206">
        <v>13</v>
      </c>
      <c r="AK206">
        <v>14</v>
      </c>
      <c r="AL206">
        <v>12</v>
      </c>
    </row>
    <row r="207" spans="1:38" x14ac:dyDescent="0.2">
      <c r="A207" s="7" t="s">
        <v>137</v>
      </c>
      <c r="B207" s="8">
        <v>129</v>
      </c>
      <c r="C207" s="8">
        <v>129</v>
      </c>
      <c r="D207" s="8">
        <v>130</v>
      </c>
      <c r="E207" s="8">
        <v>130</v>
      </c>
      <c r="F207" s="8">
        <v>130</v>
      </c>
      <c r="G207" s="9">
        <v>130</v>
      </c>
      <c r="H207" s="4">
        <v>140</v>
      </c>
      <c r="I207" s="4">
        <v>140</v>
      </c>
      <c r="J207" s="4">
        <v>140</v>
      </c>
      <c r="K207" s="4">
        <v>140</v>
      </c>
      <c r="L207" s="4">
        <v>139</v>
      </c>
      <c r="M207" s="4">
        <v>139</v>
      </c>
      <c r="N207" s="4">
        <v>139</v>
      </c>
      <c r="O207" s="4">
        <v>140</v>
      </c>
      <c r="P207" s="4">
        <v>139</v>
      </c>
      <c r="Q207" s="4">
        <v>139</v>
      </c>
      <c r="R207" s="4">
        <v>140</v>
      </c>
      <c r="S207" s="4">
        <v>137</v>
      </c>
      <c r="T207">
        <v>137</v>
      </c>
      <c r="U207">
        <v>137</v>
      </c>
      <c r="V207">
        <v>137</v>
      </c>
      <c r="W207">
        <v>137</v>
      </c>
      <c r="X207">
        <v>137</v>
      </c>
      <c r="Y207">
        <v>136</v>
      </c>
      <c r="Z207">
        <v>136</v>
      </c>
      <c r="AA207">
        <v>130</v>
      </c>
      <c r="AB207">
        <v>129</v>
      </c>
      <c r="AC207">
        <v>126</v>
      </c>
      <c r="AD207">
        <v>126</v>
      </c>
      <c r="AE207">
        <v>125</v>
      </c>
      <c r="AF207">
        <v>122</v>
      </c>
      <c r="AG207">
        <v>122</v>
      </c>
      <c r="AH207">
        <v>122</v>
      </c>
      <c r="AI207">
        <v>121</v>
      </c>
      <c r="AJ207">
        <v>120</v>
      </c>
      <c r="AK207">
        <v>118</v>
      </c>
      <c r="AL207">
        <v>116</v>
      </c>
    </row>
    <row r="209" spans="1:38" ht="22" x14ac:dyDescent="0.3">
      <c r="A209" s="54" t="s">
        <v>149</v>
      </c>
    </row>
    <row r="210" spans="1:38" x14ac:dyDescent="0.2">
      <c r="A210" s="12" t="s">
        <v>101</v>
      </c>
      <c r="B210" s="13" t="s">
        <v>102</v>
      </c>
      <c r="C210" s="13" t="s">
        <v>103</v>
      </c>
      <c r="D210" s="13" t="s">
        <v>104</v>
      </c>
      <c r="E210" s="13" t="s">
        <v>105</v>
      </c>
      <c r="F210" s="13" t="s">
        <v>106</v>
      </c>
      <c r="G210" s="13" t="s">
        <v>107</v>
      </c>
      <c r="H210" s="13" t="s">
        <v>108</v>
      </c>
      <c r="I210" s="13" t="s">
        <v>109</v>
      </c>
      <c r="J210" s="13" t="s">
        <v>110</v>
      </c>
      <c r="K210" s="13" t="s">
        <v>111</v>
      </c>
      <c r="L210" s="13" t="s">
        <v>112</v>
      </c>
      <c r="M210" s="13" t="s">
        <v>113</v>
      </c>
      <c r="N210" s="13" t="s">
        <v>114</v>
      </c>
      <c r="O210" s="13" t="s">
        <v>115</v>
      </c>
      <c r="P210" s="13" t="s">
        <v>116</v>
      </c>
      <c r="Q210" s="13" t="s">
        <v>117</v>
      </c>
      <c r="R210" s="13" t="s">
        <v>118</v>
      </c>
      <c r="S210" s="13" t="s">
        <v>119</v>
      </c>
      <c r="T210" s="13" t="s">
        <v>120</v>
      </c>
      <c r="U210" s="13" t="s">
        <v>121</v>
      </c>
      <c r="V210" s="13" t="s">
        <v>122</v>
      </c>
      <c r="W210" s="13" t="s">
        <v>123</v>
      </c>
      <c r="X210" s="13" t="s">
        <v>124</v>
      </c>
      <c r="Y210" s="13" t="s">
        <v>125</v>
      </c>
      <c r="Z210" s="13" t="s">
        <v>205</v>
      </c>
      <c r="AA210" s="13" t="s">
        <v>206</v>
      </c>
      <c r="AB210" s="13" t="s">
        <v>207</v>
      </c>
      <c r="AC210" s="13" t="s">
        <v>208</v>
      </c>
      <c r="AD210" s="80" t="s">
        <v>210</v>
      </c>
      <c r="AE210" s="80" t="s">
        <v>211</v>
      </c>
      <c r="AF210" s="80" t="s">
        <v>212</v>
      </c>
      <c r="AG210" s="88" t="s">
        <v>213</v>
      </c>
      <c r="AH210" s="88" t="s">
        <v>214</v>
      </c>
      <c r="AI210" s="88" t="s">
        <v>215</v>
      </c>
      <c r="AJ210" s="88" t="s">
        <v>216</v>
      </c>
      <c r="AK210" s="88" t="s">
        <v>217</v>
      </c>
      <c r="AL210" s="88" t="s">
        <v>218</v>
      </c>
    </row>
    <row r="211" spans="1:38" x14ac:dyDescent="0.2">
      <c r="A211" s="1" t="s">
        <v>10</v>
      </c>
      <c r="B211" s="2">
        <v>0.23530000000000001</v>
      </c>
      <c r="C211" s="2">
        <v>0.2364</v>
      </c>
      <c r="D211" s="2">
        <v>0.32269999999999999</v>
      </c>
      <c r="E211" s="25">
        <v>0.42009999999999997</v>
      </c>
      <c r="F211" s="25">
        <v>0.43120000000000003</v>
      </c>
      <c r="G211" s="3">
        <v>0.43120000000000003</v>
      </c>
      <c r="H211" s="2">
        <v>0.4541</v>
      </c>
      <c r="I211" s="2">
        <v>0.4541</v>
      </c>
      <c r="J211" s="2">
        <v>0.46079999999999999</v>
      </c>
      <c r="K211" s="2">
        <v>0.46539999999999998</v>
      </c>
      <c r="L211" s="2">
        <v>0.46539999999999998</v>
      </c>
      <c r="M211" s="2">
        <v>0.46539999999999998</v>
      </c>
      <c r="N211" s="2">
        <v>0.51139999999999997</v>
      </c>
      <c r="O211" s="2">
        <v>0.60550000000000004</v>
      </c>
      <c r="P211" s="2">
        <v>0.62209999999999999</v>
      </c>
      <c r="Q211" s="2">
        <v>0.73709999999999998</v>
      </c>
      <c r="R211" s="2">
        <v>0.77829999999999999</v>
      </c>
      <c r="S211" s="2">
        <v>0.79249999999999998</v>
      </c>
      <c r="T211" s="78">
        <v>0.83330000000000004</v>
      </c>
      <c r="U211" s="78">
        <v>0.86729999999999996</v>
      </c>
      <c r="V211" s="78">
        <v>0.86380000000000001</v>
      </c>
      <c r="W211" s="78">
        <v>0.8962</v>
      </c>
      <c r="X211" s="78">
        <v>0.89570000000000005</v>
      </c>
      <c r="Y211" s="78">
        <v>0.9143</v>
      </c>
      <c r="Z211" s="78">
        <v>0.92379999999999995</v>
      </c>
      <c r="AA211" s="78">
        <v>0.93779999999999997</v>
      </c>
      <c r="AB211" s="78">
        <v>0.95650000000000002</v>
      </c>
      <c r="AC211" s="78">
        <v>0.96140000000000003</v>
      </c>
      <c r="AD211" s="78">
        <v>0.96619999999999995</v>
      </c>
      <c r="AE211" s="85">
        <v>0.97099999999999997</v>
      </c>
      <c r="AF211" s="85">
        <v>0.97099999999999997</v>
      </c>
      <c r="AG211" s="85">
        <v>0.98069999999999991</v>
      </c>
      <c r="AH211" s="85">
        <v>0.98069999999999991</v>
      </c>
      <c r="AI211" s="85">
        <v>0.98069999999999991</v>
      </c>
      <c r="AJ211" s="85">
        <v>0.98069999999999991</v>
      </c>
      <c r="AK211" s="94">
        <v>0.99029999999999996</v>
      </c>
      <c r="AL211" s="85">
        <v>0.99029999999999996</v>
      </c>
    </row>
    <row r="213" spans="1:38" x14ac:dyDescent="0.2">
      <c r="A213" s="12" t="s">
        <v>126</v>
      </c>
      <c r="B213" s="13" t="s">
        <v>102</v>
      </c>
      <c r="C213" s="13" t="s">
        <v>103</v>
      </c>
      <c r="D213" s="13" t="s">
        <v>104</v>
      </c>
      <c r="E213" s="13" t="s">
        <v>105</v>
      </c>
      <c r="F213" s="13" t="s">
        <v>106</v>
      </c>
      <c r="G213" s="13" t="s">
        <v>107</v>
      </c>
      <c r="H213" s="13" t="s">
        <v>108</v>
      </c>
      <c r="I213" s="13" t="s">
        <v>109</v>
      </c>
      <c r="J213" s="13" t="s">
        <v>110</v>
      </c>
      <c r="K213" s="13" t="s">
        <v>111</v>
      </c>
      <c r="L213" s="13" t="s">
        <v>112</v>
      </c>
      <c r="M213" s="13" t="s">
        <v>113</v>
      </c>
      <c r="N213" s="13" t="s">
        <v>114</v>
      </c>
      <c r="O213" s="13" t="s">
        <v>115</v>
      </c>
      <c r="P213" s="13" t="s">
        <v>116</v>
      </c>
      <c r="Q213" s="13" t="s">
        <v>117</v>
      </c>
      <c r="R213" s="13" t="s">
        <v>118</v>
      </c>
      <c r="S213" s="13" t="s">
        <v>119</v>
      </c>
      <c r="T213" s="13" t="s">
        <v>120</v>
      </c>
      <c r="U213" s="13" t="s">
        <v>121</v>
      </c>
      <c r="V213" s="13" t="s">
        <v>122</v>
      </c>
      <c r="W213" s="13" t="s">
        <v>123</v>
      </c>
      <c r="X213" s="13" t="s">
        <v>124</v>
      </c>
      <c r="Y213" s="13" t="s">
        <v>125</v>
      </c>
      <c r="Z213" s="13" t="s">
        <v>205</v>
      </c>
      <c r="AA213" s="13" t="s">
        <v>206</v>
      </c>
      <c r="AB213" s="13" t="s">
        <v>207</v>
      </c>
      <c r="AC213" s="13" t="s">
        <v>208</v>
      </c>
      <c r="AD213" s="80" t="s">
        <v>210</v>
      </c>
      <c r="AE213" s="80" t="s">
        <v>211</v>
      </c>
      <c r="AF213" s="80" t="s">
        <v>212</v>
      </c>
      <c r="AG213" s="88" t="s">
        <v>213</v>
      </c>
      <c r="AH213" s="88" t="s">
        <v>214</v>
      </c>
      <c r="AI213" s="88" t="s">
        <v>215</v>
      </c>
      <c r="AJ213" s="88" t="s">
        <v>216</v>
      </c>
      <c r="AK213" s="88" t="s">
        <v>217</v>
      </c>
      <c r="AL213" s="88" t="s">
        <v>218</v>
      </c>
    </row>
    <row r="214" spans="1:38" x14ac:dyDescent="0.2">
      <c r="A214" s="1" t="s">
        <v>127</v>
      </c>
      <c r="B214" s="4">
        <v>52</v>
      </c>
      <c r="C214" s="4">
        <v>52</v>
      </c>
      <c r="D214" s="4">
        <v>71</v>
      </c>
      <c r="E214" s="4">
        <v>92</v>
      </c>
      <c r="F214" s="20">
        <v>94</v>
      </c>
      <c r="G214" s="4">
        <v>94</v>
      </c>
      <c r="H214" s="4">
        <v>99</v>
      </c>
      <c r="I214" s="4">
        <v>99</v>
      </c>
      <c r="J214" s="4">
        <v>100</v>
      </c>
      <c r="K214" s="4">
        <v>101</v>
      </c>
      <c r="L214" s="4">
        <v>101</v>
      </c>
      <c r="M214" s="4">
        <v>101</v>
      </c>
      <c r="N214" s="4">
        <v>112</v>
      </c>
      <c r="O214" s="4">
        <v>132</v>
      </c>
      <c r="P214" s="4">
        <v>135</v>
      </c>
      <c r="Q214" s="4">
        <v>157</v>
      </c>
      <c r="R214" s="4">
        <v>165</v>
      </c>
      <c r="S214" s="4">
        <v>168</v>
      </c>
      <c r="T214">
        <v>175</v>
      </c>
      <c r="U214">
        <v>183</v>
      </c>
      <c r="V214">
        <v>184</v>
      </c>
      <c r="W214">
        <v>190</v>
      </c>
      <c r="X214">
        <v>189</v>
      </c>
      <c r="Y214">
        <v>192</v>
      </c>
      <c r="Z214">
        <v>194</v>
      </c>
      <c r="AA214">
        <v>196</v>
      </c>
      <c r="AB214">
        <v>198</v>
      </c>
      <c r="AC214">
        <v>199</v>
      </c>
      <c r="AD214">
        <v>200</v>
      </c>
      <c r="AE214">
        <v>201</v>
      </c>
      <c r="AF214">
        <v>201</v>
      </c>
      <c r="AG214">
        <v>203</v>
      </c>
      <c r="AH214">
        <v>203</v>
      </c>
      <c r="AI214">
        <v>203</v>
      </c>
      <c r="AJ214">
        <v>203</v>
      </c>
      <c r="AK214">
        <v>205</v>
      </c>
      <c r="AL214">
        <v>204</v>
      </c>
    </row>
    <row r="215" spans="1:38" x14ac:dyDescent="0.2">
      <c r="A215" s="1" t="s">
        <v>128</v>
      </c>
      <c r="B215" s="4">
        <v>40</v>
      </c>
      <c r="C215" s="4">
        <v>40</v>
      </c>
      <c r="D215" s="4">
        <v>33</v>
      </c>
      <c r="E215" s="4">
        <v>30</v>
      </c>
      <c r="F215" s="20">
        <v>34</v>
      </c>
      <c r="G215" s="4">
        <v>34</v>
      </c>
      <c r="H215" s="4">
        <v>31</v>
      </c>
      <c r="I215" s="4">
        <v>31</v>
      </c>
      <c r="J215" s="4">
        <v>30</v>
      </c>
      <c r="K215" s="4">
        <v>29</v>
      </c>
      <c r="L215" s="4">
        <v>29</v>
      </c>
      <c r="M215" s="4">
        <v>29</v>
      </c>
      <c r="N215" s="4">
        <v>25</v>
      </c>
      <c r="O215" s="4">
        <v>21</v>
      </c>
      <c r="P215" s="4">
        <v>20</v>
      </c>
      <c r="Q215" s="4">
        <v>17</v>
      </c>
      <c r="R215" s="4">
        <v>17</v>
      </c>
      <c r="S215" s="4">
        <v>17</v>
      </c>
      <c r="T215">
        <v>14</v>
      </c>
      <c r="U215">
        <v>15</v>
      </c>
      <c r="V215">
        <v>18</v>
      </c>
      <c r="W215">
        <v>16</v>
      </c>
      <c r="X215">
        <v>16</v>
      </c>
      <c r="Y215">
        <v>16</v>
      </c>
      <c r="Z215">
        <v>13</v>
      </c>
      <c r="AA215">
        <v>12</v>
      </c>
      <c r="AB215">
        <v>9</v>
      </c>
      <c r="AC215">
        <v>8</v>
      </c>
      <c r="AD215">
        <v>7</v>
      </c>
      <c r="AE215">
        <v>6</v>
      </c>
      <c r="AF215">
        <v>6</v>
      </c>
      <c r="AG215">
        <v>4</v>
      </c>
      <c r="AH215">
        <v>4</v>
      </c>
      <c r="AI215">
        <v>4</v>
      </c>
      <c r="AJ215">
        <v>4</v>
      </c>
      <c r="AK215">
        <v>2</v>
      </c>
      <c r="AL215">
        <v>2</v>
      </c>
    </row>
    <row r="216" spans="1:38" x14ac:dyDescent="0.2">
      <c r="A216" s="4" t="s">
        <v>129</v>
      </c>
      <c r="B216" s="21" t="s">
        <v>139</v>
      </c>
      <c r="C216" s="21" t="s">
        <v>139</v>
      </c>
      <c r="D216" s="21" t="s">
        <v>139</v>
      </c>
      <c r="E216" s="21" t="s">
        <v>139</v>
      </c>
      <c r="F216" s="21" t="s">
        <v>139</v>
      </c>
      <c r="G216" s="9" t="s">
        <v>139</v>
      </c>
      <c r="H216" s="9" t="s">
        <v>139</v>
      </c>
      <c r="I216" s="9" t="s">
        <v>139</v>
      </c>
      <c r="J216" s="9" t="s">
        <v>139</v>
      </c>
      <c r="K216" s="9" t="s">
        <v>139</v>
      </c>
      <c r="L216" s="9" t="s">
        <v>139</v>
      </c>
      <c r="M216" s="9" t="s">
        <v>139</v>
      </c>
      <c r="N216" s="9" t="s">
        <v>139</v>
      </c>
      <c r="O216" s="9" t="s">
        <v>139</v>
      </c>
      <c r="P216" s="9" t="s">
        <v>139</v>
      </c>
      <c r="Q216" s="9" t="s">
        <v>139</v>
      </c>
      <c r="R216" s="9" t="s">
        <v>139</v>
      </c>
      <c r="S216" s="9" t="s">
        <v>139</v>
      </c>
      <c r="T216" t="s">
        <v>139</v>
      </c>
      <c r="U216" t="s">
        <v>139</v>
      </c>
      <c r="V216" t="s">
        <v>139</v>
      </c>
      <c r="W216" t="s">
        <v>139</v>
      </c>
      <c r="X216" t="s">
        <v>139</v>
      </c>
      <c r="Y216" t="s">
        <v>139</v>
      </c>
      <c r="Z216" t="s">
        <v>139</v>
      </c>
      <c r="AA216" t="s">
        <v>139</v>
      </c>
      <c r="AB216" t="s">
        <v>139</v>
      </c>
      <c r="AC216" t="s">
        <v>139</v>
      </c>
      <c r="AD216" t="s">
        <v>139</v>
      </c>
      <c r="AE216" t="s">
        <v>139</v>
      </c>
      <c r="AF216" t="s">
        <v>139</v>
      </c>
      <c r="AG216" t="s">
        <v>139</v>
      </c>
      <c r="AH216" t="s">
        <v>139</v>
      </c>
      <c r="AI216" t="s">
        <v>139</v>
      </c>
      <c r="AJ216" t="s">
        <v>139</v>
      </c>
      <c r="AK216" t="s">
        <v>139</v>
      </c>
      <c r="AL216" t="s">
        <v>139</v>
      </c>
    </row>
    <row r="217" spans="1:38" x14ac:dyDescent="0.2">
      <c r="A217" s="1" t="s">
        <v>130</v>
      </c>
      <c r="B217" s="4">
        <v>129</v>
      </c>
      <c r="C217" s="4">
        <v>128</v>
      </c>
      <c r="D217" s="4">
        <v>116</v>
      </c>
      <c r="E217" s="4">
        <v>97</v>
      </c>
      <c r="F217" s="20">
        <v>90</v>
      </c>
      <c r="G217" s="4">
        <v>90</v>
      </c>
      <c r="H217" s="4">
        <v>88</v>
      </c>
      <c r="I217" s="4">
        <v>88</v>
      </c>
      <c r="J217" s="4">
        <v>87</v>
      </c>
      <c r="K217" s="4">
        <v>87</v>
      </c>
      <c r="L217" s="4">
        <v>87</v>
      </c>
      <c r="M217" s="4">
        <v>87</v>
      </c>
      <c r="N217" s="4">
        <v>82</v>
      </c>
      <c r="O217" s="4">
        <v>65</v>
      </c>
      <c r="P217" s="4">
        <v>62</v>
      </c>
      <c r="Q217" s="4">
        <v>39</v>
      </c>
      <c r="R217" s="4">
        <v>30</v>
      </c>
      <c r="S217" s="4">
        <v>27</v>
      </c>
      <c r="T217">
        <v>21</v>
      </c>
      <c r="U217">
        <v>13</v>
      </c>
      <c r="V217">
        <v>11</v>
      </c>
      <c r="W217">
        <v>6</v>
      </c>
      <c r="X217">
        <v>6</v>
      </c>
      <c r="Y217">
        <v>2</v>
      </c>
      <c r="Z217">
        <v>3</v>
      </c>
      <c r="AA217">
        <v>1</v>
      </c>
      <c r="AB217" t="s">
        <v>139</v>
      </c>
      <c r="AC217" t="s">
        <v>139</v>
      </c>
      <c r="AD217" t="s">
        <v>139</v>
      </c>
      <c r="AE217" t="s">
        <v>139</v>
      </c>
      <c r="AF217" t="s">
        <v>139</v>
      </c>
      <c r="AG217" t="s">
        <v>139</v>
      </c>
      <c r="AH217" t="s">
        <v>139</v>
      </c>
      <c r="AI217" t="s">
        <v>139</v>
      </c>
      <c r="AJ217" t="s">
        <v>139</v>
      </c>
      <c r="AK217" t="s">
        <v>139</v>
      </c>
      <c r="AL217" t="s">
        <v>139</v>
      </c>
    </row>
    <row r="218" spans="1:38" x14ac:dyDescent="0.2">
      <c r="A218" s="4" t="s">
        <v>131</v>
      </c>
      <c r="B218" s="4">
        <v>3</v>
      </c>
      <c r="C218" s="4">
        <v>3</v>
      </c>
      <c r="D218" s="4">
        <v>3</v>
      </c>
      <c r="E218" s="4">
        <v>3</v>
      </c>
      <c r="F218" s="20">
        <v>3</v>
      </c>
      <c r="G218" s="4">
        <v>3</v>
      </c>
      <c r="H218" s="4">
        <v>3</v>
      </c>
      <c r="I218" s="4">
        <v>3</v>
      </c>
      <c r="J218" s="4">
        <v>4</v>
      </c>
      <c r="K218" s="4">
        <v>4</v>
      </c>
      <c r="L218" s="4">
        <v>4</v>
      </c>
      <c r="M218" s="4">
        <v>4</v>
      </c>
      <c r="N218" s="4">
        <v>4</v>
      </c>
      <c r="O218" s="4">
        <v>4</v>
      </c>
      <c r="P218" s="4">
        <v>4</v>
      </c>
      <c r="Q218" s="4">
        <v>7</v>
      </c>
      <c r="R218" s="4">
        <v>7</v>
      </c>
      <c r="S218" s="4">
        <v>7</v>
      </c>
      <c r="T218">
        <v>8</v>
      </c>
      <c r="U218">
        <v>8</v>
      </c>
      <c r="V218">
        <v>7</v>
      </c>
      <c r="W218">
        <v>7</v>
      </c>
      <c r="X218">
        <v>7</v>
      </c>
      <c r="Y218">
        <v>8</v>
      </c>
      <c r="Z218">
        <v>9</v>
      </c>
      <c r="AA218">
        <v>9</v>
      </c>
      <c r="AB218">
        <v>9</v>
      </c>
      <c r="AC218">
        <v>8</v>
      </c>
      <c r="AD218">
        <v>8</v>
      </c>
      <c r="AE218">
        <v>8</v>
      </c>
      <c r="AF218">
        <v>8</v>
      </c>
      <c r="AG218">
        <v>8</v>
      </c>
      <c r="AH218">
        <v>8</v>
      </c>
      <c r="AI218">
        <v>8</v>
      </c>
      <c r="AJ218">
        <v>8</v>
      </c>
      <c r="AK218">
        <v>8</v>
      </c>
      <c r="AL218">
        <v>8</v>
      </c>
    </row>
    <row r="219" spans="1:38" x14ac:dyDescent="0.2">
      <c r="A219" s="4" t="s">
        <v>132</v>
      </c>
      <c r="B219" s="4" t="s">
        <v>139</v>
      </c>
      <c r="C219" s="4" t="s">
        <v>139</v>
      </c>
      <c r="D219" s="4" t="s">
        <v>139</v>
      </c>
      <c r="E219" s="4" t="s">
        <v>139</v>
      </c>
      <c r="F219" s="20" t="s">
        <v>139</v>
      </c>
      <c r="G219" s="4" t="s">
        <v>139</v>
      </c>
      <c r="H219" s="4" t="s">
        <v>139</v>
      </c>
      <c r="I219" s="4" t="s">
        <v>139</v>
      </c>
      <c r="J219" s="4" t="s">
        <v>139</v>
      </c>
      <c r="K219" s="4" t="s">
        <v>139</v>
      </c>
      <c r="L219" s="4" t="s">
        <v>139</v>
      </c>
      <c r="M219" s="4" t="s">
        <v>139</v>
      </c>
      <c r="N219" s="4" t="s">
        <v>139</v>
      </c>
      <c r="O219" s="4" t="s">
        <v>139</v>
      </c>
      <c r="P219" s="4">
        <v>1</v>
      </c>
      <c r="Q219" s="4">
        <v>1</v>
      </c>
      <c r="R219" s="4">
        <v>1</v>
      </c>
      <c r="S219" s="4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  <c r="AJ219">
        <v>1</v>
      </c>
      <c r="AK219">
        <v>1</v>
      </c>
      <c r="AL219">
        <v>1</v>
      </c>
    </row>
    <row r="220" spans="1:38" x14ac:dyDescent="0.2">
      <c r="A220" s="4" t="s">
        <v>133</v>
      </c>
      <c r="B220" s="4">
        <v>1</v>
      </c>
      <c r="C220" s="4">
        <v>1</v>
      </c>
      <c r="D220" s="4">
        <v>1</v>
      </c>
      <c r="E220" s="4">
        <v>1</v>
      </c>
      <c r="F220" s="20">
        <v>1</v>
      </c>
      <c r="G220" s="4">
        <v>1</v>
      </c>
      <c r="H220" s="4">
        <v>1</v>
      </c>
      <c r="I220" s="4">
        <v>1</v>
      </c>
      <c r="J220" s="4">
        <v>1</v>
      </c>
      <c r="K220" s="4">
        <v>1</v>
      </c>
      <c r="L220" s="4">
        <v>1</v>
      </c>
      <c r="M220" s="4">
        <v>1</v>
      </c>
      <c r="N220" s="4">
        <v>1</v>
      </c>
      <c r="O220" s="4">
        <v>1</v>
      </c>
      <c r="P220" s="4">
        <v>1</v>
      </c>
      <c r="Q220" s="4">
        <v>1</v>
      </c>
      <c r="R220" s="4">
        <v>1</v>
      </c>
      <c r="S220" s="4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 t="s">
        <v>139</v>
      </c>
      <c r="Z220" t="s">
        <v>139</v>
      </c>
      <c r="AA220" t="s">
        <v>139</v>
      </c>
      <c r="AB220">
        <v>2</v>
      </c>
      <c r="AC220">
        <v>2</v>
      </c>
      <c r="AD220">
        <v>2</v>
      </c>
      <c r="AE220">
        <v>2</v>
      </c>
      <c r="AF220">
        <v>2</v>
      </c>
      <c r="AG220">
        <v>2</v>
      </c>
      <c r="AH220">
        <v>2</v>
      </c>
      <c r="AI220">
        <v>2</v>
      </c>
      <c r="AJ220">
        <v>2</v>
      </c>
      <c r="AK220">
        <v>2</v>
      </c>
      <c r="AL220">
        <v>2</v>
      </c>
    </row>
    <row r="221" spans="1:38" x14ac:dyDescent="0.2">
      <c r="A221" s="4" t="s">
        <v>134</v>
      </c>
      <c r="B221" s="4" t="s">
        <v>139</v>
      </c>
      <c r="C221" s="4" t="s">
        <v>139</v>
      </c>
      <c r="D221" s="4" t="s">
        <v>139</v>
      </c>
      <c r="E221" s="4" t="s">
        <v>139</v>
      </c>
      <c r="F221" s="21" t="s">
        <v>139</v>
      </c>
      <c r="G221" s="9" t="s">
        <v>139</v>
      </c>
      <c r="H221" s="9" t="s">
        <v>139</v>
      </c>
      <c r="I221" s="9" t="s">
        <v>139</v>
      </c>
      <c r="J221" s="9" t="s">
        <v>139</v>
      </c>
      <c r="K221" s="9" t="s">
        <v>139</v>
      </c>
      <c r="L221" s="9" t="s">
        <v>139</v>
      </c>
      <c r="M221" s="9" t="s">
        <v>139</v>
      </c>
      <c r="N221" s="9" t="s">
        <v>139</v>
      </c>
      <c r="O221" s="9" t="s">
        <v>139</v>
      </c>
      <c r="P221" s="9" t="s">
        <v>139</v>
      </c>
      <c r="Q221" s="9">
        <v>1</v>
      </c>
      <c r="R221" s="9">
        <v>1</v>
      </c>
      <c r="S221" s="9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1</v>
      </c>
    </row>
    <row r="222" spans="1:38" x14ac:dyDescent="0.2">
      <c r="A222" s="4" t="s">
        <v>135</v>
      </c>
      <c r="B222" s="21">
        <v>1</v>
      </c>
      <c r="C222" s="21">
        <v>1</v>
      </c>
      <c r="D222" s="21">
        <v>1</v>
      </c>
      <c r="E222" s="21">
        <v>1</v>
      </c>
      <c r="F222" s="21">
        <v>1</v>
      </c>
      <c r="G222" s="9">
        <v>1</v>
      </c>
      <c r="H222" s="9">
        <v>1</v>
      </c>
      <c r="I222" s="9">
        <v>1</v>
      </c>
      <c r="J222" s="9">
        <v>1</v>
      </c>
      <c r="K222" s="9">
        <v>1</v>
      </c>
      <c r="L222" s="9">
        <v>1</v>
      </c>
      <c r="M222" s="9">
        <v>1</v>
      </c>
      <c r="N222" s="9">
        <v>1</v>
      </c>
      <c r="O222" s="9">
        <v>1</v>
      </c>
      <c r="P222" s="9">
        <v>1</v>
      </c>
      <c r="Q222" s="9">
        <v>1</v>
      </c>
      <c r="R222" s="9">
        <v>1</v>
      </c>
      <c r="S222" s="9">
        <v>1</v>
      </c>
      <c r="T222">
        <v>1</v>
      </c>
      <c r="U222" t="s">
        <v>139</v>
      </c>
      <c r="V222" t="s">
        <v>139</v>
      </c>
      <c r="W222" t="s">
        <v>139</v>
      </c>
      <c r="X222" t="s">
        <v>139</v>
      </c>
      <c r="Y222" t="s">
        <v>139</v>
      </c>
      <c r="Z222" t="s">
        <v>139</v>
      </c>
      <c r="AA222" t="s">
        <v>139</v>
      </c>
      <c r="AB222" t="s">
        <v>139</v>
      </c>
      <c r="AC222" t="s">
        <v>139</v>
      </c>
      <c r="AD222" t="s">
        <v>139</v>
      </c>
      <c r="AE222" t="s">
        <v>139</v>
      </c>
      <c r="AF222" t="s">
        <v>139</v>
      </c>
      <c r="AG222" t="s">
        <v>139</v>
      </c>
      <c r="AH222" t="s">
        <v>139</v>
      </c>
      <c r="AI222" t="s">
        <v>139</v>
      </c>
      <c r="AJ222" t="s">
        <v>139</v>
      </c>
      <c r="AK222" t="s">
        <v>139</v>
      </c>
      <c r="AL222" t="s">
        <v>139</v>
      </c>
    </row>
    <row r="223" spans="1:38" x14ac:dyDescent="0.2">
      <c r="A223" s="4" t="s">
        <v>136</v>
      </c>
      <c r="B223" s="21" t="s">
        <v>139</v>
      </c>
      <c r="C223" s="21" t="s">
        <v>139</v>
      </c>
      <c r="D223" s="21" t="s">
        <v>139</v>
      </c>
      <c r="E223" s="21" t="s">
        <v>139</v>
      </c>
      <c r="F223" s="21" t="s">
        <v>139</v>
      </c>
      <c r="G223" s="22" t="s">
        <v>139</v>
      </c>
      <c r="H223" s="22" t="s">
        <v>139</v>
      </c>
      <c r="I223" s="22" t="s">
        <v>139</v>
      </c>
      <c r="J223" s="22" t="s">
        <v>139</v>
      </c>
      <c r="K223" s="22" t="s">
        <v>139</v>
      </c>
      <c r="L223" s="22" t="s">
        <v>139</v>
      </c>
      <c r="M223" s="22" t="s">
        <v>139</v>
      </c>
      <c r="N223" s="22" t="s">
        <v>139</v>
      </c>
      <c r="O223" s="22" t="s">
        <v>139</v>
      </c>
      <c r="P223" s="23" t="s">
        <v>139</v>
      </c>
      <c r="Q223" s="9" t="s">
        <v>139</v>
      </c>
      <c r="R223" s="9" t="s">
        <v>139</v>
      </c>
      <c r="S223" s="9" t="s">
        <v>139</v>
      </c>
      <c r="T223" t="s">
        <v>139</v>
      </c>
      <c r="U223" t="s">
        <v>139</v>
      </c>
      <c r="V223" t="s">
        <v>139</v>
      </c>
      <c r="W223" t="s">
        <v>139</v>
      </c>
      <c r="X223" t="s">
        <v>139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1</v>
      </c>
      <c r="AL223">
        <v>1</v>
      </c>
    </row>
    <row r="224" spans="1:38" x14ac:dyDescent="0.2">
      <c r="A224" s="7" t="s">
        <v>137</v>
      </c>
      <c r="B224" s="8">
        <v>226</v>
      </c>
      <c r="C224" s="8">
        <v>225</v>
      </c>
      <c r="D224" s="8">
        <v>225</v>
      </c>
      <c r="E224" s="8">
        <v>224</v>
      </c>
      <c r="F224" s="8">
        <v>223</v>
      </c>
      <c r="G224" s="9">
        <v>223</v>
      </c>
      <c r="H224" s="4">
        <v>223</v>
      </c>
      <c r="I224" s="4">
        <v>223</v>
      </c>
      <c r="J224" s="4">
        <v>223</v>
      </c>
      <c r="K224" s="4">
        <v>223</v>
      </c>
      <c r="L224" s="4">
        <v>223</v>
      </c>
      <c r="M224" s="4">
        <v>223</v>
      </c>
      <c r="N224" s="4">
        <v>225</v>
      </c>
      <c r="O224" s="4">
        <v>224</v>
      </c>
      <c r="P224" s="4">
        <v>224</v>
      </c>
      <c r="Q224" s="4">
        <v>224</v>
      </c>
      <c r="R224" s="4">
        <v>223</v>
      </c>
      <c r="S224" s="4">
        <v>223</v>
      </c>
      <c r="T224">
        <v>222</v>
      </c>
      <c r="U224">
        <v>222</v>
      </c>
      <c r="V224">
        <v>223</v>
      </c>
      <c r="W224">
        <v>222</v>
      </c>
      <c r="X224">
        <v>221</v>
      </c>
      <c r="Y224">
        <v>221</v>
      </c>
      <c r="Z224">
        <v>222</v>
      </c>
      <c r="AA224">
        <v>221</v>
      </c>
      <c r="AB224">
        <v>221</v>
      </c>
      <c r="AC224">
        <v>220</v>
      </c>
      <c r="AD224">
        <v>220</v>
      </c>
      <c r="AE224">
        <v>220</v>
      </c>
      <c r="AF224">
        <v>220</v>
      </c>
      <c r="AG224">
        <v>220</v>
      </c>
      <c r="AH224">
        <v>220</v>
      </c>
      <c r="AI224">
        <v>220</v>
      </c>
      <c r="AJ224">
        <v>220</v>
      </c>
      <c r="AK224">
        <v>220</v>
      </c>
      <c r="AL224">
        <v>219</v>
      </c>
    </row>
    <row r="226" spans="1:38" ht="22" x14ac:dyDescent="0.3">
      <c r="A226" s="54" t="s">
        <v>150</v>
      </c>
    </row>
    <row r="227" spans="1:38" x14ac:dyDescent="0.2">
      <c r="A227" s="12" t="s">
        <v>101</v>
      </c>
      <c r="B227" s="13" t="s">
        <v>102</v>
      </c>
      <c r="C227" s="13" t="s">
        <v>103</v>
      </c>
      <c r="D227" s="13" t="s">
        <v>104</v>
      </c>
      <c r="E227" s="13" t="s">
        <v>105</v>
      </c>
      <c r="F227" s="13" t="s">
        <v>106</v>
      </c>
      <c r="G227" s="13" t="s">
        <v>107</v>
      </c>
      <c r="H227" s="13" t="s">
        <v>108</v>
      </c>
      <c r="I227" s="13" t="s">
        <v>109</v>
      </c>
      <c r="J227" s="13" t="s">
        <v>110</v>
      </c>
      <c r="K227" s="13" t="s">
        <v>111</v>
      </c>
      <c r="L227" s="13" t="s">
        <v>112</v>
      </c>
      <c r="M227" s="13" t="s">
        <v>113</v>
      </c>
      <c r="N227" s="13" t="s">
        <v>114</v>
      </c>
      <c r="O227" s="13" t="s">
        <v>115</v>
      </c>
      <c r="P227" s="13" t="s">
        <v>116</v>
      </c>
      <c r="Q227" s="13" t="s">
        <v>117</v>
      </c>
      <c r="R227" s="13" t="s">
        <v>118</v>
      </c>
      <c r="S227" s="13" t="s">
        <v>119</v>
      </c>
      <c r="T227" s="13" t="s">
        <v>120</v>
      </c>
      <c r="U227" s="13" t="s">
        <v>121</v>
      </c>
      <c r="V227" s="13" t="s">
        <v>122</v>
      </c>
      <c r="W227" s="13" t="s">
        <v>123</v>
      </c>
      <c r="X227" s="13" t="s">
        <v>124</v>
      </c>
      <c r="Y227" s="13" t="s">
        <v>125</v>
      </c>
      <c r="Z227" s="13" t="s">
        <v>205</v>
      </c>
      <c r="AA227" s="13" t="s">
        <v>206</v>
      </c>
      <c r="AB227" s="13" t="s">
        <v>207</v>
      </c>
      <c r="AC227" s="13" t="s">
        <v>208</v>
      </c>
      <c r="AD227" s="80" t="s">
        <v>210</v>
      </c>
      <c r="AE227" s="80" t="s">
        <v>211</v>
      </c>
      <c r="AF227" s="80" t="s">
        <v>212</v>
      </c>
      <c r="AG227" s="88" t="s">
        <v>213</v>
      </c>
      <c r="AH227" s="88" t="s">
        <v>214</v>
      </c>
      <c r="AI227" s="88" t="s">
        <v>215</v>
      </c>
      <c r="AJ227" s="88" t="s">
        <v>216</v>
      </c>
      <c r="AK227" s="88" t="s">
        <v>217</v>
      </c>
      <c r="AL227" s="88" t="s">
        <v>218</v>
      </c>
    </row>
    <row r="228" spans="1:38" x14ac:dyDescent="0.2">
      <c r="A228" s="1" t="s">
        <v>10</v>
      </c>
      <c r="B228" s="2">
        <v>0.27400000000000002</v>
      </c>
      <c r="C228" s="2">
        <v>0.27400000000000002</v>
      </c>
      <c r="D228" s="2">
        <v>0.27400000000000002</v>
      </c>
      <c r="E228" s="25">
        <v>0.3014</v>
      </c>
      <c r="F228" s="25">
        <v>0.3014</v>
      </c>
      <c r="G228" s="3">
        <v>0.31509999999999999</v>
      </c>
      <c r="H228" s="2">
        <v>0.34250000000000003</v>
      </c>
      <c r="I228" s="2">
        <v>0.34250000000000003</v>
      </c>
      <c r="J228" s="2">
        <v>0.41099999999999998</v>
      </c>
      <c r="K228" s="2">
        <v>0.41099999999999998</v>
      </c>
      <c r="L228" s="2">
        <v>0.43840000000000001</v>
      </c>
      <c r="M228" s="2">
        <v>0.43840000000000001</v>
      </c>
      <c r="N228" s="2">
        <v>0.43840000000000001</v>
      </c>
      <c r="O228" s="2">
        <v>0.47949999999999998</v>
      </c>
      <c r="P228" s="2">
        <v>0.47299999999999998</v>
      </c>
      <c r="Q228" s="2">
        <v>0.47949999999999998</v>
      </c>
      <c r="R228" s="2">
        <v>0.47949999999999998</v>
      </c>
      <c r="S228" s="2">
        <v>0.5</v>
      </c>
      <c r="T228" s="78">
        <v>0.5</v>
      </c>
      <c r="U228" s="78">
        <v>0.5</v>
      </c>
      <c r="V228" s="78">
        <v>0.5</v>
      </c>
      <c r="W228" s="78">
        <v>0.52859999999999996</v>
      </c>
      <c r="X228" s="78">
        <v>0.57969999999999999</v>
      </c>
      <c r="Y228" s="78">
        <v>0.59419999999999995</v>
      </c>
      <c r="Z228" s="78">
        <v>0.61760000000000004</v>
      </c>
      <c r="AA228" s="78">
        <v>0.63239999999999996</v>
      </c>
      <c r="AB228" s="78">
        <v>0.66180000000000005</v>
      </c>
      <c r="AC228" s="78">
        <v>0.6522</v>
      </c>
      <c r="AD228" s="78">
        <v>0.66669999999999996</v>
      </c>
      <c r="AE228" s="85">
        <v>0.66670000000000007</v>
      </c>
      <c r="AF228" s="85">
        <v>0.66670000000000007</v>
      </c>
      <c r="AG228" s="85">
        <v>0.7</v>
      </c>
      <c r="AH228" s="85">
        <v>0.72459999999999991</v>
      </c>
      <c r="AI228" s="85">
        <v>0.77939999999999998</v>
      </c>
      <c r="AJ228" s="85">
        <v>0.77939999999999998</v>
      </c>
      <c r="AK228" s="94">
        <v>0.77939999999999998</v>
      </c>
      <c r="AL228" s="85">
        <v>0.79409999999999992</v>
      </c>
    </row>
    <row r="230" spans="1:38" x14ac:dyDescent="0.2">
      <c r="A230" s="12" t="s">
        <v>126</v>
      </c>
      <c r="B230" s="13" t="s">
        <v>102</v>
      </c>
      <c r="C230" s="13" t="s">
        <v>103</v>
      </c>
      <c r="D230" s="13" t="s">
        <v>104</v>
      </c>
      <c r="E230" s="13" t="s">
        <v>105</v>
      </c>
      <c r="F230" s="13" t="s">
        <v>106</v>
      </c>
      <c r="G230" s="13" t="s">
        <v>107</v>
      </c>
      <c r="H230" s="13" t="s">
        <v>108</v>
      </c>
      <c r="I230" s="13" t="s">
        <v>109</v>
      </c>
      <c r="J230" s="13" t="s">
        <v>110</v>
      </c>
      <c r="K230" s="13" t="s">
        <v>111</v>
      </c>
      <c r="L230" s="13" t="s">
        <v>112</v>
      </c>
      <c r="M230" s="13" t="s">
        <v>113</v>
      </c>
      <c r="N230" s="13" t="s">
        <v>114</v>
      </c>
      <c r="O230" s="13" t="s">
        <v>115</v>
      </c>
      <c r="P230" s="13" t="s">
        <v>116</v>
      </c>
      <c r="Q230" s="13" t="s">
        <v>117</v>
      </c>
      <c r="R230" s="13" t="s">
        <v>118</v>
      </c>
      <c r="S230" s="13" t="s">
        <v>119</v>
      </c>
      <c r="T230" s="13" t="s">
        <v>120</v>
      </c>
      <c r="U230" s="13" t="s">
        <v>121</v>
      </c>
      <c r="V230" s="13" t="s">
        <v>122</v>
      </c>
      <c r="W230" s="13" t="s">
        <v>123</v>
      </c>
      <c r="X230" s="13" t="s">
        <v>124</v>
      </c>
      <c r="Y230" s="13" t="s">
        <v>125</v>
      </c>
      <c r="Z230" s="13" t="s">
        <v>205</v>
      </c>
      <c r="AA230" s="13" t="s">
        <v>206</v>
      </c>
      <c r="AB230" s="13" t="s">
        <v>207</v>
      </c>
      <c r="AC230" s="13" t="s">
        <v>208</v>
      </c>
      <c r="AD230" s="80" t="s">
        <v>210</v>
      </c>
      <c r="AE230" s="80" t="s">
        <v>211</v>
      </c>
      <c r="AF230" s="80" t="s">
        <v>212</v>
      </c>
      <c r="AG230" s="88" t="s">
        <v>213</v>
      </c>
      <c r="AH230" s="88" t="s">
        <v>214</v>
      </c>
      <c r="AI230" s="88" t="s">
        <v>215</v>
      </c>
      <c r="AJ230" s="88" t="s">
        <v>216</v>
      </c>
      <c r="AK230" s="88" t="s">
        <v>217</v>
      </c>
      <c r="AL230" s="88" t="s">
        <v>218</v>
      </c>
    </row>
    <row r="231" spans="1:38" x14ac:dyDescent="0.2">
      <c r="A231" s="1" t="s">
        <v>127</v>
      </c>
      <c r="B231" s="4">
        <v>20</v>
      </c>
      <c r="C231" s="4">
        <v>20</v>
      </c>
      <c r="D231" s="4">
        <v>20</v>
      </c>
      <c r="E231" s="4">
        <v>22</v>
      </c>
      <c r="F231" s="20">
        <v>22</v>
      </c>
      <c r="G231" s="4">
        <v>23</v>
      </c>
      <c r="H231" s="4">
        <v>25</v>
      </c>
      <c r="I231" s="4">
        <v>25</v>
      </c>
      <c r="J231" s="4">
        <v>30</v>
      </c>
      <c r="K231" s="4">
        <v>30</v>
      </c>
      <c r="L231" s="4">
        <v>32</v>
      </c>
      <c r="M231" s="4">
        <v>32</v>
      </c>
      <c r="N231" s="4">
        <v>32</v>
      </c>
      <c r="O231" s="4">
        <v>35</v>
      </c>
      <c r="P231" s="4">
        <v>35</v>
      </c>
      <c r="Q231" s="4">
        <v>35</v>
      </c>
      <c r="R231" s="4">
        <v>35</v>
      </c>
      <c r="S231" s="4">
        <v>36</v>
      </c>
      <c r="T231">
        <v>36</v>
      </c>
      <c r="U231">
        <v>36</v>
      </c>
      <c r="V231">
        <v>36</v>
      </c>
      <c r="W231">
        <v>37</v>
      </c>
      <c r="X231">
        <v>40</v>
      </c>
      <c r="Y231">
        <v>41</v>
      </c>
      <c r="Z231">
        <v>42</v>
      </c>
      <c r="AA231">
        <v>43</v>
      </c>
      <c r="AB231">
        <v>45</v>
      </c>
      <c r="AC231">
        <v>45</v>
      </c>
      <c r="AD231">
        <v>46</v>
      </c>
      <c r="AE231">
        <v>46</v>
      </c>
      <c r="AF231">
        <v>46</v>
      </c>
      <c r="AG231">
        <v>49</v>
      </c>
      <c r="AH231">
        <v>50</v>
      </c>
      <c r="AI231">
        <v>53</v>
      </c>
      <c r="AJ231">
        <v>53</v>
      </c>
      <c r="AK231">
        <v>53</v>
      </c>
      <c r="AL231">
        <v>54</v>
      </c>
    </row>
    <row r="232" spans="1:38" x14ac:dyDescent="0.2">
      <c r="A232" s="1" t="s">
        <v>128</v>
      </c>
      <c r="B232" s="4">
        <v>52</v>
      </c>
      <c r="C232" s="4">
        <v>52</v>
      </c>
      <c r="D232" s="4">
        <v>52</v>
      </c>
      <c r="E232" s="4">
        <v>50</v>
      </c>
      <c r="F232" s="20">
        <v>50</v>
      </c>
      <c r="G232" s="4">
        <v>49</v>
      </c>
      <c r="H232" s="4">
        <v>47</v>
      </c>
      <c r="I232" s="4">
        <v>47</v>
      </c>
      <c r="J232" s="4">
        <v>42</v>
      </c>
      <c r="K232" s="4">
        <v>42</v>
      </c>
      <c r="L232" s="4">
        <v>40</v>
      </c>
      <c r="M232" s="4">
        <v>40</v>
      </c>
      <c r="N232" s="4">
        <v>40</v>
      </c>
      <c r="O232" s="4">
        <v>37</v>
      </c>
      <c r="P232" s="4">
        <v>38</v>
      </c>
      <c r="Q232" s="4">
        <v>38</v>
      </c>
      <c r="R232" s="4">
        <v>38</v>
      </c>
      <c r="S232" s="4">
        <v>36</v>
      </c>
      <c r="T232">
        <v>36</v>
      </c>
      <c r="U232">
        <v>36</v>
      </c>
      <c r="V232">
        <v>36</v>
      </c>
      <c r="W232">
        <v>33</v>
      </c>
      <c r="X232">
        <v>29</v>
      </c>
      <c r="Y232">
        <v>28</v>
      </c>
      <c r="Z232">
        <v>26</v>
      </c>
      <c r="AA232">
        <v>25</v>
      </c>
      <c r="AB232">
        <v>23</v>
      </c>
      <c r="AC232">
        <v>24</v>
      </c>
      <c r="AD232">
        <v>23</v>
      </c>
      <c r="AE232">
        <v>23</v>
      </c>
      <c r="AF232">
        <v>23</v>
      </c>
      <c r="AG232">
        <v>21</v>
      </c>
      <c r="AH232">
        <v>19</v>
      </c>
      <c r="AI232">
        <v>15</v>
      </c>
      <c r="AJ232">
        <v>15</v>
      </c>
      <c r="AK232">
        <v>15</v>
      </c>
      <c r="AL232">
        <v>14</v>
      </c>
    </row>
    <row r="233" spans="1:38" x14ac:dyDescent="0.2">
      <c r="A233" s="4" t="s">
        <v>129</v>
      </c>
      <c r="B233" s="21" t="s">
        <v>139</v>
      </c>
      <c r="C233" s="21" t="s">
        <v>139</v>
      </c>
      <c r="D233" s="21" t="s">
        <v>139</v>
      </c>
      <c r="E233" s="21" t="s">
        <v>139</v>
      </c>
      <c r="F233" s="21" t="s">
        <v>139</v>
      </c>
      <c r="G233" s="9" t="s">
        <v>139</v>
      </c>
      <c r="H233" s="9" t="s">
        <v>139</v>
      </c>
      <c r="I233" s="9" t="s">
        <v>139</v>
      </c>
      <c r="J233" s="9" t="s">
        <v>139</v>
      </c>
      <c r="K233" s="9" t="s">
        <v>139</v>
      </c>
      <c r="L233" s="9" t="s">
        <v>139</v>
      </c>
      <c r="M233" s="9" t="s">
        <v>139</v>
      </c>
      <c r="N233" s="9" t="s">
        <v>139</v>
      </c>
      <c r="O233" s="9" t="s">
        <v>139</v>
      </c>
      <c r="P233" s="9" t="s">
        <v>139</v>
      </c>
      <c r="Q233" s="9" t="s">
        <v>139</v>
      </c>
      <c r="R233" s="9" t="s">
        <v>139</v>
      </c>
      <c r="S233" s="9" t="s">
        <v>139</v>
      </c>
      <c r="T233" t="s">
        <v>139</v>
      </c>
      <c r="U233" t="s">
        <v>139</v>
      </c>
      <c r="V233" t="s">
        <v>139</v>
      </c>
      <c r="W233" t="s">
        <v>139</v>
      </c>
      <c r="X233" t="s">
        <v>139</v>
      </c>
      <c r="Y233" t="s">
        <v>139</v>
      </c>
      <c r="Z233" t="s">
        <v>139</v>
      </c>
      <c r="AA233" t="s">
        <v>139</v>
      </c>
      <c r="AB233" t="s">
        <v>139</v>
      </c>
      <c r="AC233" t="s">
        <v>139</v>
      </c>
      <c r="AD233" t="s">
        <v>139</v>
      </c>
      <c r="AE233" t="s">
        <v>139</v>
      </c>
      <c r="AF233" t="s">
        <v>139</v>
      </c>
      <c r="AG233" t="s">
        <v>139</v>
      </c>
      <c r="AH233" t="s">
        <v>139</v>
      </c>
      <c r="AI233" t="s">
        <v>139</v>
      </c>
      <c r="AJ233" t="s">
        <v>139</v>
      </c>
      <c r="AK233" t="s">
        <v>139</v>
      </c>
      <c r="AL233" t="s">
        <v>139</v>
      </c>
    </row>
    <row r="234" spans="1:38" x14ac:dyDescent="0.2">
      <c r="A234" s="1" t="s">
        <v>130</v>
      </c>
      <c r="B234" s="4">
        <v>1</v>
      </c>
      <c r="C234" s="4">
        <v>1</v>
      </c>
      <c r="D234" s="4">
        <v>1</v>
      </c>
      <c r="E234" s="4">
        <v>1</v>
      </c>
      <c r="F234" s="20">
        <v>1</v>
      </c>
      <c r="G234" s="4">
        <v>1</v>
      </c>
      <c r="H234" s="4">
        <v>1</v>
      </c>
      <c r="I234" s="4">
        <v>1</v>
      </c>
      <c r="J234" s="4">
        <v>1</v>
      </c>
      <c r="K234" s="4">
        <v>1</v>
      </c>
      <c r="L234" s="4">
        <v>1</v>
      </c>
      <c r="M234" s="4">
        <v>1</v>
      </c>
      <c r="N234" s="4">
        <v>1</v>
      </c>
      <c r="O234" s="4">
        <v>1</v>
      </c>
      <c r="P234" s="4">
        <v>1</v>
      </c>
      <c r="Q234" s="4" t="s">
        <v>139</v>
      </c>
      <c r="R234" s="4" t="s">
        <v>139</v>
      </c>
      <c r="S234" s="4" t="s">
        <v>139</v>
      </c>
      <c r="T234" t="s">
        <v>139</v>
      </c>
      <c r="U234" t="s">
        <v>139</v>
      </c>
      <c r="V234" t="s">
        <v>139</v>
      </c>
      <c r="W234" t="s">
        <v>139</v>
      </c>
      <c r="X234" t="s">
        <v>139</v>
      </c>
      <c r="Y234" t="s">
        <v>139</v>
      </c>
      <c r="Z234" t="s">
        <v>139</v>
      </c>
      <c r="AA234" t="s">
        <v>139</v>
      </c>
      <c r="AB234" t="s">
        <v>139</v>
      </c>
      <c r="AC234" t="s">
        <v>139</v>
      </c>
      <c r="AD234" t="s">
        <v>139</v>
      </c>
      <c r="AE234" t="s">
        <v>139</v>
      </c>
      <c r="AF234" t="s">
        <v>139</v>
      </c>
      <c r="AG234" t="s">
        <v>139</v>
      </c>
      <c r="AH234" t="s">
        <v>139</v>
      </c>
      <c r="AI234" t="s">
        <v>139</v>
      </c>
      <c r="AJ234" t="s">
        <v>139</v>
      </c>
      <c r="AK234" t="s">
        <v>139</v>
      </c>
      <c r="AL234" t="s">
        <v>139</v>
      </c>
    </row>
    <row r="235" spans="1:38" x14ac:dyDescent="0.2">
      <c r="A235" s="4" t="s">
        <v>131</v>
      </c>
      <c r="B235" s="4">
        <v>2</v>
      </c>
      <c r="C235" s="4">
        <v>2</v>
      </c>
      <c r="D235" s="4">
        <v>2</v>
      </c>
      <c r="E235" s="4">
        <v>2</v>
      </c>
      <c r="F235" s="20">
        <v>2</v>
      </c>
      <c r="G235" s="4">
        <v>2</v>
      </c>
      <c r="H235" s="4">
        <v>2</v>
      </c>
      <c r="I235" s="4">
        <v>2</v>
      </c>
      <c r="J235" s="4">
        <v>2</v>
      </c>
      <c r="K235" s="4">
        <v>2</v>
      </c>
      <c r="L235" s="4">
        <v>2</v>
      </c>
      <c r="M235" s="4">
        <v>2</v>
      </c>
      <c r="N235" s="4">
        <v>2</v>
      </c>
      <c r="O235" s="4">
        <v>2</v>
      </c>
      <c r="P235" s="4">
        <v>1</v>
      </c>
      <c r="Q235" s="4">
        <v>1</v>
      </c>
      <c r="R235" s="4">
        <v>1</v>
      </c>
      <c r="S235" s="4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  <c r="AJ235">
        <v>1</v>
      </c>
      <c r="AK235">
        <v>1</v>
      </c>
      <c r="AL235">
        <v>1</v>
      </c>
    </row>
    <row r="236" spans="1:38" x14ac:dyDescent="0.2">
      <c r="A236" s="4" t="s">
        <v>132</v>
      </c>
      <c r="B236" s="4" t="s">
        <v>139</v>
      </c>
      <c r="C236" s="4" t="s">
        <v>139</v>
      </c>
      <c r="D236" s="4" t="s">
        <v>139</v>
      </c>
      <c r="E236" s="4" t="s">
        <v>139</v>
      </c>
      <c r="F236" s="20" t="s">
        <v>139</v>
      </c>
      <c r="G236" s="4" t="s">
        <v>139</v>
      </c>
      <c r="H236" s="4" t="s">
        <v>139</v>
      </c>
      <c r="I236" s="4" t="s">
        <v>139</v>
      </c>
      <c r="J236" s="4" t="s">
        <v>139</v>
      </c>
      <c r="K236" s="4" t="s">
        <v>139</v>
      </c>
      <c r="L236" s="4" t="s">
        <v>139</v>
      </c>
      <c r="M236" s="4" t="s">
        <v>139</v>
      </c>
      <c r="N236" s="4" t="s">
        <v>139</v>
      </c>
      <c r="O236" s="4" t="s">
        <v>139</v>
      </c>
      <c r="P236" s="4" t="s">
        <v>139</v>
      </c>
      <c r="Q236" s="4" t="s">
        <v>139</v>
      </c>
      <c r="R236" s="4" t="s">
        <v>139</v>
      </c>
      <c r="S236" s="4" t="s">
        <v>139</v>
      </c>
      <c r="T236" t="s">
        <v>139</v>
      </c>
      <c r="U236" t="s">
        <v>139</v>
      </c>
      <c r="V236" t="s">
        <v>139</v>
      </c>
      <c r="W236" t="s">
        <v>139</v>
      </c>
      <c r="X236" t="s">
        <v>139</v>
      </c>
      <c r="Y236" t="s">
        <v>139</v>
      </c>
      <c r="Z236" t="s">
        <v>139</v>
      </c>
      <c r="AA236" t="s">
        <v>139</v>
      </c>
      <c r="AB236" t="s">
        <v>139</v>
      </c>
      <c r="AC236" t="s">
        <v>139</v>
      </c>
      <c r="AD236" t="s">
        <v>139</v>
      </c>
      <c r="AE236" t="s">
        <v>139</v>
      </c>
      <c r="AF236" t="s">
        <v>139</v>
      </c>
      <c r="AG236" t="s">
        <v>139</v>
      </c>
      <c r="AH236" t="s">
        <v>139</v>
      </c>
      <c r="AI236" t="s">
        <v>139</v>
      </c>
      <c r="AJ236" t="s">
        <v>139</v>
      </c>
      <c r="AK236" t="s">
        <v>139</v>
      </c>
      <c r="AL236" t="s">
        <v>139</v>
      </c>
    </row>
    <row r="237" spans="1:38" x14ac:dyDescent="0.2">
      <c r="A237" s="4" t="s">
        <v>133</v>
      </c>
      <c r="B237" s="4">
        <v>1</v>
      </c>
      <c r="C237" s="4">
        <v>1</v>
      </c>
      <c r="D237" s="4">
        <v>1</v>
      </c>
      <c r="E237" s="4">
        <v>1</v>
      </c>
      <c r="F237" s="20">
        <v>1</v>
      </c>
      <c r="G237" s="4">
        <v>1</v>
      </c>
      <c r="H237" s="4">
        <v>1</v>
      </c>
      <c r="I237" s="4">
        <v>1</v>
      </c>
      <c r="J237" s="4">
        <v>1</v>
      </c>
      <c r="K237" s="4">
        <v>1</v>
      </c>
      <c r="L237" s="4">
        <v>1</v>
      </c>
      <c r="M237" s="4">
        <v>1</v>
      </c>
      <c r="N237" s="4">
        <v>1</v>
      </c>
      <c r="O237" s="4">
        <v>1</v>
      </c>
      <c r="P237" s="4">
        <v>1</v>
      </c>
      <c r="Q237" s="4">
        <v>1</v>
      </c>
      <c r="R237" s="4">
        <v>1</v>
      </c>
      <c r="S237" s="4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</row>
    <row r="238" spans="1:38" x14ac:dyDescent="0.2">
      <c r="A238" s="4" t="s">
        <v>134</v>
      </c>
      <c r="B238" s="4" t="s">
        <v>139</v>
      </c>
      <c r="C238" s="4" t="s">
        <v>139</v>
      </c>
      <c r="D238" s="4" t="s">
        <v>139</v>
      </c>
      <c r="E238" s="4" t="s">
        <v>139</v>
      </c>
      <c r="F238" s="21" t="s">
        <v>139</v>
      </c>
      <c r="G238" s="9" t="s">
        <v>139</v>
      </c>
      <c r="H238" s="9" t="s">
        <v>139</v>
      </c>
      <c r="I238" s="9" t="s">
        <v>139</v>
      </c>
      <c r="J238" s="9" t="s">
        <v>139</v>
      </c>
      <c r="K238" s="9" t="s">
        <v>139</v>
      </c>
      <c r="L238" s="9" t="s">
        <v>139</v>
      </c>
      <c r="M238" s="9" t="s">
        <v>139</v>
      </c>
      <c r="N238" s="9" t="s">
        <v>139</v>
      </c>
      <c r="O238" s="9" t="s">
        <v>139</v>
      </c>
      <c r="P238" s="9" t="s">
        <v>139</v>
      </c>
      <c r="Q238" s="9" t="s">
        <v>139</v>
      </c>
      <c r="R238" s="9" t="s">
        <v>139</v>
      </c>
      <c r="S238" s="9" t="s">
        <v>139</v>
      </c>
      <c r="T238" t="s">
        <v>139</v>
      </c>
      <c r="U238" t="s">
        <v>139</v>
      </c>
      <c r="V238" t="s">
        <v>139</v>
      </c>
      <c r="W238" t="s">
        <v>139</v>
      </c>
      <c r="X238" t="s">
        <v>139</v>
      </c>
      <c r="Y238" t="s">
        <v>139</v>
      </c>
      <c r="Z238" t="s">
        <v>139</v>
      </c>
      <c r="AA238" t="s">
        <v>139</v>
      </c>
      <c r="AB238" t="s">
        <v>139</v>
      </c>
      <c r="AC238" t="s">
        <v>139</v>
      </c>
      <c r="AD238" t="s">
        <v>139</v>
      </c>
      <c r="AE238" t="s">
        <v>139</v>
      </c>
      <c r="AF238" t="s">
        <v>139</v>
      </c>
      <c r="AG238" t="s">
        <v>139</v>
      </c>
      <c r="AH238">
        <v>1</v>
      </c>
      <c r="AI238">
        <v>2</v>
      </c>
      <c r="AJ238">
        <v>2</v>
      </c>
      <c r="AK238">
        <v>2</v>
      </c>
      <c r="AL238">
        <v>2</v>
      </c>
    </row>
    <row r="239" spans="1:38" x14ac:dyDescent="0.2">
      <c r="A239" s="4" t="s">
        <v>135</v>
      </c>
      <c r="B239" s="21">
        <v>1</v>
      </c>
      <c r="C239" s="21">
        <v>1</v>
      </c>
      <c r="D239" s="21">
        <v>1</v>
      </c>
      <c r="E239" s="21">
        <v>1</v>
      </c>
      <c r="F239" s="21">
        <v>1</v>
      </c>
      <c r="G239" s="9">
        <v>1</v>
      </c>
      <c r="H239" s="9">
        <v>1</v>
      </c>
      <c r="I239" s="9">
        <v>1</v>
      </c>
      <c r="J239" s="9">
        <v>1</v>
      </c>
      <c r="K239" s="9">
        <v>1</v>
      </c>
      <c r="L239" s="9">
        <v>1</v>
      </c>
      <c r="M239" s="9">
        <v>1</v>
      </c>
      <c r="N239" s="9">
        <v>1</v>
      </c>
      <c r="O239" s="9">
        <v>1</v>
      </c>
      <c r="P239" s="9">
        <v>1</v>
      </c>
      <c r="Q239" s="9">
        <v>1</v>
      </c>
      <c r="R239" s="9">
        <v>1</v>
      </c>
      <c r="S239" s="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 t="s">
        <v>139</v>
      </c>
      <c r="AH239" t="s">
        <v>139</v>
      </c>
      <c r="AI239" t="s">
        <v>139</v>
      </c>
      <c r="AJ239" t="s">
        <v>139</v>
      </c>
      <c r="AK239" t="s">
        <v>139</v>
      </c>
      <c r="AL239" t="s">
        <v>139</v>
      </c>
    </row>
    <row r="240" spans="1:38" x14ac:dyDescent="0.2">
      <c r="A240" s="4" t="s">
        <v>136</v>
      </c>
      <c r="B240" s="21">
        <v>4</v>
      </c>
      <c r="C240" s="21">
        <v>4</v>
      </c>
      <c r="D240" s="21">
        <v>4</v>
      </c>
      <c r="E240" s="21">
        <v>4</v>
      </c>
      <c r="F240" s="21">
        <v>4</v>
      </c>
      <c r="G240" s="22">
        <v>4</v>
      </c>
      <c r="H240" s="22">
        <v>4</v>
      </c>
      <c r="I240" s="22">
        <v>4</v>
      </c>
      <c r="J240" s="22">
        <v>4</v>
      </c>
      <c r="K240" s="22">
        <v>4</v>
      </c>
      <c r="L240" s="22">
        <v>4</v>
      </c>
      <c r="M240" s="22">
        <v>4</v>
      </c>
      <c r="N240" s="22">
        <v>4</v>
      </c>
      <c r="O240" s="22">
        <v>4</v>
      </c>
      <c r="P240" s="23">
        <v>4</v>
      </c>
      <c r="Q240" s="9">
        <v>4</v>
      </c>
      <c r="R240" s="9">
        <v>4</v>
      </c>
      <c r="S240" s="9">
        <v>4</v>
      </c>
      <c r="T240">
        <v>4</v>
      </c>
      <c r="U240">
        <v>4</v>
      </c>
      <c r="V240">
        <v>4</v>
      </c>
      <c r="W240">
        <v>6</v>
      </c>
      <c r="X240">
        <v>6</v>
      </c>
      <c r="Y240">
        <v>6</v>
      </c>
      <c r="Z240">
        <v>6</v>
      </c>
      <c r="AA240">
        <v>6</v>
      </c>
      <c r="AB240">
        <v>6</v>
      </c>
      <c r="AC240">
        <v>5</v>
      </c>
      <c r="AD240">
        <v>5</v>
      </c>
      <c r="AE240">
        <v>5</v>
      </c>
      <c r="AF240">
        <v>5</v>
      </c>
      <c r="AG240">
        <v>5</v>
      </c>
      <c r="AH240">
        <v>5</v>
      </c>
      <c r="AI240">
        <v>5</v>
      </c>
      <c r="AJ240">
        <v>5</v>
      </c>
      <c r="AK240">
        <v>5</v>
      </c>
      <c r="AL240">
        <v>5</v>
      </c>
    </row>
    <row r="241" spans="1:38" x14ac:dyDescent="0.2">
      <c r="A241" s="7" t="s">
        <v>137</v>
      </c>
      <c r="B241" s="8">
        <v>81</v>
      </c>
      <c r="C241" s="8">
        <v>81</v>
      </c>
      <c r="D241" s="8">
        <v>81</v>
      </c>
      <c r="E241" s="8">
        <v>81</v>
      </c>
      <c r="F241" s="8">
        <v>81</v>
      </c>
      <c r="G241" s="9">
        <v>81</v>
      </c>
      <c r="H241" s="4">
        <v>81</v>
      </c>
      <c r="I241" s="4">
        <v>81</v>
      </c>
      <c r="J241" s="4">
        <v>81</v>
      </c>
      <c r="K241" s="4">
        <v>81</v>
      </c>
      <c r="L241" s="4">
        <v>81</v>
      </c>
      <c r="M241" s="4">
        <v>81</v>
      </c>
      <c r="N241" s="4">
        <v>81</v>
      </c>
      <c r="O241" s="4">
        <v>81</v>
      </c>
      <c r="P241" s="4">
        <v>81</v>
      </c>
      <c r="Q241" s="4">
        <v>80</v>
      </c>
      <c r="R241" s="4">
        <v>80</v>
      </c>
      <c r="S241" s="4">
        <v>79</v>
      </c>
      <c r="T241">
        <v>79</v>
      </c>
      <c r="U241">
        <v>79</v>
      </c>
      <c r="V241">
        <v>79</v>
      </c>
      <c r="W241">
        <v>79</v>
      </c>
      <c r="X241">
        <v>78</v>
      </c>
      <c r="Y241">
        <v>78</v>
      </c>
      <c r="Z241">
        <v>77</v>
      </c>
      <c r="AA241">
        <v>77</v>
      </c>
      <c r="AB241">
        <v>77</v>
      </c>
      <c r="AC241">
        <v>77</v>
      </c>
      <c r="AD241">
        <v>77</v>
      </c>
      <c r="AE241">
        <v>77</v>
      </c>
      <c r="AF241">
        <v>77</v>
      </c>
      <c r="AG241">
        <v>77</v>
      </c>
      <c r="AH241">
        <v>77</v>
      </c>
      <c r="AI241">
        <v>77</v>
      </c>
      <c r="AJ241">
        <v>77</v>
      </c>
      <c r="AK241">
        <v>77</v>
      </c>
      <c r="AL241">
        <v>77</v>
      </c>
    </row>
    <row r="243" spans="1:38" ht="22" x14ac:dyDescent="0.3">
      <c r="A243" s="54" t="s">
        <v>151</v>
      </c>
    </row>
    <row r="244" spans="1:38" x14ac:dyDescent="0.2">
      <c r="A244" s="12" t="s">
        <v>101</v>
      </c>
      <c r="B244" s="13" t="s">
        <v>102</v>
      </c>
      <c r="C244" s="13" t="s">
        <v>103</v>
      </c>
      <c r="D244" s="13" t="s">
        <v>104</v>
      </c>
      <c r="E244" s="13" t="s">
        <v>105</v>
      </c>
      <c r="F244" s="13" t="s">
        <v>106</v>
      </c>
      <c r="G244" s="13" t="s">
        <v>107</v>
      </c>
      <c r="H244" s="13" t="s">
        <v>108</v>
      </c>
      <c r="I244" s="13" t="s">
        <v>109</v>
      </c>
      <c r="J244" s="13" t="s">
        <v>110</v>
      </c>
      <c r="K244" s="13" t="s">
        <v>111</v>
      </c>
      <c r="L244" s="13" t="s">
        <v>112</v>
      </c>
      <c r="M244" s="13" t="s">
        <v>113</v>
      </c>
      <c r="N244" s="13" t="s">
        <v>114</v>
      </c>
      <c r="O244" s="13" t="s">
        <v>115</v>
      </c>
      <c r="P244" s="13" t="s">
        <v>116</v>
      </c>
      <c r="Q244" s="13" t="s">
        <v>117</v>
      </c>
      <c r="R244" s="13" t="s">
        <v>118</v>
      </c>
      <c r="S244" s="13" t="s">
        <v>119</v>
      </c>
      <c r="T244" s="13" t="s">
        <v>120</v>
      </c>
      <c r="U244" s="13" t="s">
        <v>121</v>
      </c>
      <c r="V244" s="13" t="s">
        <v>122</v>
      </c>
      <c r="W244" s="13" t="s">
        <v>123</v>
      </c>
      <c r="X244" s="13" t="s">
        <v>124</v>
      </c>
      <c r="Y244" s="13" t="s">
        <v>125</v>
      </c>
      <c r="Z244" s="13" t="s">
        <v>205</v>
      </c>
      <c r="AA244" s="13" t="s">
        <v>206</v>
      </c>
      <c r="AB244" s="13" t="s">
        <v>207</v>
      </c>
      <c r="AC244" s="13" t="s">
        <v>208</v>
      </c>
      <c r="AD244" s="80" t="s">
        <v>210</v>
      </c>
      <c r="AE244" s="80" t="s">
        <v>211</v>
      </c>
      <c r="AF244" s="80" t="s">
        <v>212</v>
      </c>
      <c r="AG244" s="88" t="s">
        <v>213</v>
      </c>
      <c r="AH244" s="88" t="s">
        <v>214</v>
      </c>
      <c r="AI244" s="88" t="s">
        <v>215</v>
      </c>
      <c r="AJ244" s="88" t="s">
        <v>216</v>
      </c>
      <c r="AK244" s="88" t="s">
        <v>217</v>
      </c>
      <c r="AL244" s="88" t="s">
        <v>218</v>
      </c>
    </row>
    <row r="245" spans="1:38" x14ac:dyDescent="0.2">
      <c r="A245" s="1" t="s">
        <v>10</v>
      </c>
      <c r="B245" s="2">
        <v>0.1188</v>
      </c>
      <c r="C245" s="2">
        <v>0.12870000000000001</v>
      </c>
      <c r="D245" s="2">
        <v>0.13</v>
      </c>
      <c r="E245" s="25">
        <v>0.14000000000000001</v>
      </c>
      <c r="F245" s="25">
        <v>0.14000000000000001</v>
      </c>
      <c r="G245" s="3">
        <v>0.14000000000000001</v>
      </c>
      <c r="H245" s="2">
        <v>0.17349999999999999</v>
      </c>
      <c r="I245" s="2">
        <v>0.20619999999999999</v>
      </c>
      <c r="J245" s="2">
        <v>0.20830000000000001</v>
      </c>
      <c r="K245" s="2">
        <v>0.2165</v>
      </c>
      <c r="L245" s="2">
        <v>0.24740000000000001</v>
      </c>
      <c r="M245" s="2">
        <v>0.25509999999999999</v>
      </c>
      <c r="N245" s="2">
        <v>0.25509999999999999</v>
      </c>
      <c r="O245" s="2">
        <v>0.28570000000000001</v>
      </c>
      <c r="P245" s="2">
        <v>0.34949999999999998</v>
      </c>
      <c r="Q245" s="2">
        <v>0.34949999999999998</v>
      </c>
      <c r="R245" s="2">
        <v>0.4078</v>
      </c>
      <c r="S245" s="2">
        <v>0.42309999999999998</v>
      </c>
      <c r="T245" s="78">
        <v>0.43269999999999997</v>
      </c>
      <c r="U245" s="78">
        <v>0.43690000000000001</v>
      </c>
      <c r="V245" s="78">
        <v>0.4466</v>
      </c>
      <c r="W245" s="78">
        <v>0.45629999999999998</v>
      </c>
      <c r="X245" s="78">
        <v>0.47570000000000001</v>
      </c>
      <c r="Y245" s="78">
        <v>0.5</v>
      </c>
      <c r="Z245" s="78">
        <v>0.56000000000000005</v>
      </c>
      <c r="AA245" s="78">
        <v>0.65349999999999997</v>
      </c>
      <c r="AB245" s="78">
        <v>0.65690000000000004</v>
      </c>
      <c r="AC245" s="78">
        <v>0.66990000000000005</v>
      </c>
      <c r="AD245" s="78">
        <v>0.70299999999999996</v>
      </c>
      <c r="AE245" s="85">
        <v>0.73959999999999992</v>
      </c>
      <c r="AF245" s="85">
        <v>0.73959999999999992</v>
      </c>
      <c r="AG245" s="85">
        <v>0.76040000000000008</v>
      </c>
      <c r="AH245" s="85">
        <v>0.79120000000000001</v>
      </c>
      <c r="AI245" s="85">
        <v>0.79349999999999998</v>
      </c>
      <c r="AJ245" s="85">
        <v>0.79349999999999998</v>
      </c>
      <c r="AK245" s="85">
        <v>0.79349999999999998</v>
      </c>
      <c r="AL245" s="85">
        <v>0.81519999999999992</v>
      </c>
    </row>
    <row r="247" spans="1:38" x14ac:dyDescent="0.2">
      <c r="A247" s="12" t="s">
        <v>126</v>
      </c>
      <c r="B247" s="13" t="s">
        <v>102</v>
      </c>
      <c r="C247" s="13" t="s">
        <v>103</v>
      </c>
      <c r="D247" s="13" t="s">
        <v>104</v>
      </c>
      <c r="E247" s="13" t="s">
        <v>105</v>
      </c>
      <c r="F247" s="13" t="s">
        <v>106</v>
      </c>
      <c r="G247" s="13" t="s">
        <v>107</v>
      </c>
      <c r="H247" s="13" t="s">
        <v>108</v>
      </c>
      <c r="I247" s="13" t="s">
        <v>109</v>
      </c>
      <c r="J247" s="13" t="s">
        <v>110</v>
      </c>
      <c r="K247" s="13" t="s">
        <v>111</v>
      </c>
      <c r="L247" s="13" t="s">
        <v>112</v>
      </c>
      <c r="M247" s="13" t="s">
        <v>113</v>
      </c>
      <c r="N247" s="13" t="s">
        <v>114</v>
      </c>
      <c r="O247" s="13" t="s">
        <v>115</v>
      </c>
      <c r="P247" s="13" t="s">
        <v>116</v>
      </c>
      <c r="Q247" s="13" t="s">
        <v>117</v>
      </c>
      <c r="R247" s="13" t="s">
        <v>118</v>
      </c>
      <c r="S247" s="13" t="s">
        <v>119</v>
      </c>
      <c r="T247" s="13" t="s">
        <v>120</v>
      </c>
      <c r="U247" s="13" t="s">
        <v>121</v>
      </c>
      <c r="V247" s="13" t="s">
        <v>122</v>
      </c>
      <c r="W247" s="13" t="s">
        <v>123</v>
      </c>
      <c r="X247" s="13" t="s">
        <v>124</v>
      </c>
      <c r="Y247" s="13" t="s">
        <v>125</v>
      </c>
      <c r="Z247" s="13" t="s">
        <v>205</v>
      </c>
      <c r="AA247" s="13" t="s">
        <v>206</v>
      </c>
      <c r="AB247" s="13" t="s">
        <v>207</v>
      </c>
      <c r="AC247" s="13" t="s">
        <v>208</v>
      </c>
      <c r="AD247" s="80" t="s">
        <v>210</v>
      </c>
      <c r="AE247" s="80" t="s">
        <v>211</v>
      </c>
      <c r="AF247" s="80" t="s">
        <v>212</v>
      </c>
      <c r="AG247" s="88" t="s">
        <v>213</v>
      </c>
      <c r="AH247" s="88" t="s">
        <v>214</v>
      </c>
      <c r="AI247" s="88" t="s">
        <v>215</v>
      </c>
      <c r="AJ247" s="88" t="s">
        <v>216</v>
      </c>
      <c r="AK247" s="88" t="s">
        <v>217</v>
      </c>
      <c r="AL247" s="88" t="s">
        <v>218</v>
      </c>
    </row>
    <row r="248" spans="1:38" x14ac:dyDescent="0.2">
      <c r="A248" s="1" t="s">
        <v>127</v>
      </c>
      <c r="B248" s="4">
        <v>12</v>
      </c>
      <c r="C248" s="4">
        <v>13</v>
      </c>
      <c r="D248" s="4">
        <v>13</v>
      </c>
      <c r="E248" s="4">
        <v>14</v>
      </c>
      <c r="F248" s="20">
        <v>14</v>
      </c>
      <c r="G248" s="4">
        <v>14</v>
      </c>
      <c r="H248" s="4">
        <v>17</v>
      </c>
      <c r="I248" s="4">
        <v>20</v>
      </c>
      <c r="J248" s="4">
        <v>20</v>
      </c>
      <c r="K248" s="4">
        <v>21</v>
      </c>
      <c r="L248" s="4">
        <v>24</v>
      </c>
      <c r="M248" s="4">
        <v>25</v>
      </c>
      <c r="N248" s="4">
        <v>25</v>
      </c>
      <c r="O248" s="4">
        <v>28</v>
      </c>
      <c r="P248" s="4">
        <v>36</v>
      </c>
      <c r="Q248" s="4">
        <v>36</v>
      </c>
      <c r="R248" s="4">
        <v>42</v>
      </c>
      <c r="S248" s="4">
        <v>44</v>
      </c>
      <c r="T248">
        <v>45</v>
      </c>
      <c r="U248">
        <v>45</v>
      </c>
      <c r="V248">
        <v>46</v>
      </c>
      <c r="W248">
        <v>47</v>
      </c>
      <c r="X248">
        <v>49</v>
      </c>
      <c r="Y248">
        <v>51</v>
      </c>
      <c r="Z248">
        <v>56</v>
      </c>
      <c r="AA248">
        <v>66</v>
      </c>
      <c r="AB248">
        <v>67</v>
      </c>
      <c r="AC248">
        <v>69</v>
      </c>
      <c r="AD248">
        <v>71</v>
      </c>
      <c r="AE248">
        <v>71</v>
      </c>
      <c r="AF248">
        <v>71</v>
      </c>
      <c r="AG248">
        <v>73</v>
      </c>
      <c r="AH248">
        <v>72</v>
      </c>
      <c r="AI248">
        <v>73</v>
      </c>
      <c r="AJ248">
        <v>73</v>
      </c>
      <c r="AK248">
        <v>73</v>
      </c>
      <c r="AL248">
        <v>75</v>
      </c>
    </row>
    <row r="249" spans="1:38" x14ac:dyDescent="0.2">
      <c r="A249" s="1" t="s">
        <v>128</v>
      </c>
      <c r="B249" s="4">
        <v>51</v>
      </c>
      <c r="C249" s="4">
        <v>51</v>
      </c>
      <c r="D249" s="4">
        <v>50</v>
      </c>
      <c r="E249" s="4">
        <v>50</v>
      </c>
      <c r="F249" s="20">
        <v>52</v>
      </c>
      <c r="G249" s="4">
        <v>54</v>
      </c>
      <c r="H249" s="4">
        <v>56</v>
      </c>
      <c r="I249" s="4">
        <v>59</v>
      </c>
      <c r="J249" s="4">
        <v>58</v>
      </c>
      <c r="K249" s="4">
        <v>58</v>
      </c>
      <c r="L249" s="4">
        <v>56</v>
      </c>
      <c r="M249" s="4">
        <v>55</v>
      </c>
      <c r="N249" s="4">
        <v>55</v>
      </c>
      <c r="O249" s="4">
        <v>52</v>
      </c>
      <c r="P249" s="4">
        <v>54</v>
      </c>
      <c r="Q249" s="4">
        <v>59</v>
      </c>
      <c r="R249" s="4">
        <v>57</v>
      </c>
      <c r="S249" s="4">
        <v>58</v>
      </c>
      <c r="T249">
        <v>57</v>
      </c>
      <c r="U249">
        <v>56</v>
      </c>
      <c r="V249">
        <v>55</v>
      </c>
      <c r="W249">
        <v>54</v>
      </c>
      <c r="X249">
        <v>52</v>
      </c>
      <c r="Y249">
        <v>50</v>
      </c>
      <c r="Z249">
        <v>43</v>
      </c>
      <c r="AA249">
        <v>34</v>
      </c>
      <c r="AB249">
        <v>35</v>
      </c>
      <c r="AC249">
        <v>34</v>
      </c>
      <c r="AD249">
        <v>30</v>
      </c>
      <c r="AE249">
        <v>25</v>
      </c>
      <c r="AF249">
        <v>25</v>
      </c>
      <c r="AG249">
        <v>23</v>
      </c>
      <c r="AH249">
        <v>19</v>
      </c>
      <c r="AI249">
        <v>19</v>
      </c>
      <c r="AJ249">
        <v>19</v>
      </c>
      <c r="AK249">
        <v>19</v>
      </c>
      <c r="AL249">
        <v>17</v>
      </c>
    </row>
    <row r="250" spans="1:38" x14ac:dyDescent="0.2">
      <c r="A250" s="4" t="s">
        <v>129</v>
      </c>
      <c r="B250" s="21" t="s">
        <v>139</v>
      </c>
      <c r="C250" s="21" t="s">
        <v>139</v>
      </c>
      <c r="D250" s="21" t="s">
        <v>139</v>
      </c>
      <c r="E250" s="21" t="s">
        <v>139</v>
      </c>
      <c r="F250" s="21" t="s">
        <v>139</v>
      </c>
      <c r="G250" s="9" t="s">
        <v>139</v>
      </c>
      <c r="H250" s="9" t="s">
        <v>139</v>
      </c>
      <c r="I250" s="9" t="s">
        <v>139</v>
      </c>
      <c r="J250" s="9" t="s">
        <v>139</v>
      </c>
      <c r="K250" s="9" t="s">
        <v>139</v>
      </c>
      <c r="L250" s="9" t="s">
        <v>139</v>
      </c>
      <c r="M250" s="9" t="s">
        <v>139</v>
      </c>
      <c r="N250" s="9" t="s">
        <v>139</v>
      </c>
      <c r="O250" s="9" t="s">
        <v>139</v>
      </c>
      <c r="P250" s="9" t="s">
        <v>139</v>
      </c>
      <c r="Q250" s="9" t="s">
        <v>139</v>
      </c>
      <c r="R250" s="9" t="s">
        <v>139</v>
      </c>
      <c r="S250" s="9" t="s">
        <v>139</v>
      </c>
      <c r="T250" t="s">
        <v>139</v>
      </c>
      <c r="U250" t="s">
        <v>139</v>
      </c>
      <c r="V250" t="s">
        <v>139</v>
      </c>
      <c r="W250" t="s">
        <v>139</v>
      </c>
      <c r="X250" t="s">
        <v>139</v>
      </c>
      <c r="Y250" t="s">
        <v>139</v>
      </c>
      <c r="Z250" t="s">
        <v>139</v>
      </c>
      <c r="AA250" t="s">
        <v>139</v>
      </c>
      <c r="AB250" t="s">
        <v>139</v>
      </c>
      <c r="AC250" t="s">
        <v>139</v>
      </c>
      <c r="AD250" t="s">
        <v>139</v>
      </c>
      <c r="AE250" t="s">
        <v>139</v>
      </c>
      <c r="AF250" t="s">
        <v>139</v>
      </c>
      <c r="AG250" t="s">
        <v>139</v>
      </c>
      <c r="AH250" t="s">
        <v>139</v>
      </c>
      <c r="AI250" t="s">
        <v>139</v>
      </c>
      <c r="AJ250" t="s">
        <v>139</v>
      </c>
      <c r="AK250" t="s">
        <v>139</v>
      </c>
      <c r="AL250" t="s">
        <v>139</v>
      </c>
    </row>
    <row r="251" spans="1:38" x14ac:dyDescent="0.2">
      <c r="A251" s="1" t="s">
        <v>130</v>
      </c>
      <c r="B251" s="4">
        <v>38</v>
      </c>
      <c r="C251" s="4">
        <v>37</v>
      </c>
      <c r="D251" s="4">
        <v>37</v>
      </c>
      <c r="E251" s="4">
        <v>36</v>
      </c>
      <c r="F251" s="20">
        <v>34</v>
      </c>
      <c r="G251" s="4">
        <v>32</v>
      </c>
      <c r="H251" s="4">
        <v>25</v>
      </c>
      <c r="I251" s="4">
        <v>18</v>
      </c>
      <c r="J251" s="4">
        <v>18</v>
      </c>
      <c r="K251" s="4">
        <v>18</v>
      </c>
      <c r="L251" s="4">
        <v>17</v>
      </c>
      <c r="M251" s="4">
        <v>18</v>
      </c>
      <c r="N251" s="4">
        <v>18</v>
      </c>
      <c r="O251" s="4">
        <v>18</v>
      </c>
      <c r="P251" s="4">
        <v>13</v>
      </c>
      <c r="Q251" s="4">
        <v>8</v>
      </c>
      <c r="R251" s="4">
        <v>4</v>
      </c>
      <c r="S251" s="4">
        <v>2</v>
      </c>
      <c r="T251">
        <v>2</v>
      </c>
      <c r="U251">
        <v>2</v>
      </c>
      <c r="V251">
        <v>2</v>
      </c>
      <c r="W251">
        <v>2</v>
      </c>
      <c r="X251">
        <v>2</v>
      </c>
      <c r="Y251">
        <v>1</v>
      </c>
      <c r="Z251">
        <v>1</v>
      </c>
      <c r="AA251">
        <v>1</v>
      </c>
      <c r="AB251" t="s">
        <v>139</v>
      </c>
      <c r="AC251" t="s">
        <v>139</v>
      </c>
      <c r="AD251" t="s">
        <v>139</v>
      </c>
      <c r="AE251" t="s">
        <v>139</v>
      </c>
      <c r="AF251" t="s">
        <v>139</v>
      </c>
      <c r="AG251" t="s">
        <v>139</v>
      </c>
      <c r="AH251" t="s">
        <v>139</v>
      </c>
      <c r="AI251" t="s">
        <v>139</v>
      </c>
      <c r="AJ251" t="s">
        <v>139</v>
      </c>
      <c r="AK251" t="s">
        <v>139</v>
      </c>
      <c r="AL251" t="s">
        <v>139</v>
      </c>
    </row>
    <row r="252" spans="1:38" x14ac:dyDescent="0.2">
      <c r="A252" s="4" t="s">
        <v>131</v>
      </c>
      <c r="B252" s="4">
        <v>2</v>
      </c>
      <c r="C252" s="4">
        <v>2</v>
      </c>
      <c r="D252" s="4">
        <v>3</v>
      </c>
      <c r="E252" s="4">
        <v>3</v>
      </c>
      <c r="F252" s="20">
        <v>3</v>
      </c>
      <c r="G252" s="4">
        <v>3</v>
      </c>
      <c r="H252" s="4">
        <v>3</v>
      </c>
      <c r="I252" s="4">
        <v>3</v>
      </c>
      <c r="J252" s="4">
        <v>3</v>
      </c>
      <c r="K252" s="4">
        <v>3</v>
      </c>
      <c r="L252" s="4">
        <v>3</v>
      </c>
      <c r="M252" s="4">
        <v>3</v>
      </c>
      <c r="N252" s="4">
        <v>3</v>
      </c>
      <c r="O252" s="4">
        <v>4</v>
      </c>
      <c r="P252" s="4">
        <v>2</v>
      </c>
      <c r="Q252" s="4">
        <v>2</v>
      </c>
      <c r="R252" s="4">
        <v>2</v>
      </c>
      <c r="S252" s="4">
        <v>2</v>
      </c>
      <c r="T252">
        <v>2</v>
      </c>
      <c r="U252">
        <v>2</v>
      </c>
      <c r="V252">
        <v>2</v>
      </c>
      <c r="W252">
        <v>2</v>
      </c>
      <c r="X252">
        <v>2</v>
      </c>
      <c r="Y252">
        <v>2</v>
      </c>
      <c r="Z252">
        <v>2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2</v>
      </c>
      <c r="AI252">
        <v>2</v>
      </c>
      <c r="AJ252">
        <v>2</v>
      </c>
      <c r="AK252">
        <v>2</v>
      </c>
      <c r="AL252">
        <v>2</v>
      </c>
    </row>
    <row r="253" spans="1:38" x14ac:dyDescent="0.2">
      <c r="A253" s="4" t="s">
        <v>132</v>
      </c>
      <c r="B253" s="4" t="s">
        <v>139</v>
      </c>
      <c r="C253" s="4" t="s">
        <v>139</v>
      </c>
      <c r="D253" s="4" t="s">
        <v>139</v>
      </c>
      <c r="E253" s="4" t="s">
        <v>139</v>
      </c>
      <c r="F253" s="20" t="s">
        <v>139</v>
      </c>
      <c r="G253" s="4" t="s">
        <v>139</v>
      </c>
      <c r="H253" s="4" t="s">
        <v>139</v>
      </c>
      <c r="I253" s="4" t="s">
        <v>139</v>
      </c>
      <c r="J253" s="4" t="s">
        <v>139</v>
      </c>
      <c r="K253" s="4" t="s">
        <v>139</v>
      </c>
      <c r="L253" s="4" t="s">
        <v>139</v>
      </c>
      <c r="M253" s="4" t="s">
        <v>139</v>
      </c>
      <c r="N253" s="4" t="s">
        <v>139</v>
      </c>
      <c r="O253" s="4" t="s">
        <v>139</v>
      </c>
      <c r="P253" s="4" t="s">
        <v>139</v>
      </c>
      <c r="Q253" s="4" t="s">
        <v>139</v>
      </c>
      <c r="R253" s="4" t="s">
        <v>139</v>
      </c>
      <c r="S253" s="4" t="s">
        <v>139</v>
      </c>
      <c r="T253" t="s">
        <v>139</v>
      </c>
      <c r="U253" t="s">
        <v>139</v>
      </c>
      <c r="V253" t="s">
        <v>139</v>
      </c>
      <c r="W253" t="s">
        <v>139</v>
      </c>
      <c r="X253" t="s">
        <v>139</v>
      </c>
      <c r="Y253" t="s">
        <v>139</v>
      </c>
      <c r="Z253" t="s">
        <v>139</v>
      </c>
      <c r="AA253" t="s">
        <v>139</v>
      </c>
      <c r="AB253" t="s">
        <v>139</v>
      </c>
      <c r="AC253" t="s">
        <v>139</v>
      </c>
      <c r="AD253" t="s">
        <v>139</v>
      </c>
      <c r="AE253" t="s">
        <v>139</v>
      </c>
      <c r="AF253" t="s">
        <v>139</v>
      </c>
      <c r="AG253" t="s">
        <v>139</v>
      </c>
      <c r="AH253" t="s">
        <v>139</v>
      </c>
      <c r="AI253" t="s">
        <v>139</v>
      </c>
      <c r="AJ253" t="s">
        <v>139</v>
      </c>
      <c r="AK253" t="s">
        <v>139</v>
      </c>
      <c r="AL253" t="s">
        <v>139</v>
      </c>
    </row>
    <row r="254" spans="1:38" x14ac:dyDescent="0.2">
      <c r="A254" s="4" t="s">
        <v>133</v>
      </c>
      <c r="B254" s="4" t="s">
        <v>139</v>
      </c>
      <c r="C254" s="4" t="s">
        <v>139</v>
      </c>
      <c r="D254" s="4" t="s">
        <v>139</v>
      </c>
      <c r="E254" s="4" t="s">
        <v>139</v>
      </c>
      <c r="F254" s="20" t="s">
        <v>139</v>
      </c>
      <c r="G254" s="4" t="s">
        <v>139</v>
      </c>
      <c r="H254" s="4" t="s">
        <v>139</v>
      </c>
      <c r="I254" s="4" t="s">
        <v>139</v>
      </c>
      <c r="J254" s="4" t="s">
        <v>139</v>
      </c>
      <c r="K254" s="4" t="s">
        <v>139</v>
      </c>
      <c r="L254" s="4" t="s">
        <v>139</v>
      </c>
      <c r="M254" s="4" t="s">
        <v>139</v>
      </c>
      <c r="N254" s="4" t="s">
        <v>139</v>
      </c>
      <c r="O254" s="4" t="s">
        <v>139</v>
      </c>
      <c r="P254" s="4" t="s">
        <v>139</v>
      </c>
      <c r="Q254" s="4" t="s">
        <v>139</v>
      </c>
      <c r="R254" s="4" t="s">
        <v>139</v>
      </c>
      <c r="S254" s="4" t="s">
        <v>139</v>
      </c>
      <c r="T254" t="s">
        <v>139</v>
      </c>
      <c r="U254" t="s">
        <v>139</v>
      </c>
      <c r="V254" t="s">
        <v>139</v>
      </c>
      <c r="W254" t="s">
        <v>139</v>
      </c>
      <c r="X254" t="s">
        <v>139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2</v>
      </c>
      <c r="AI254">
        <v>2</v>
      </c>
      <c r="AJ254">
        <v>2</v>
      </c>
      <c r="AK254">
        <v>2</v>
      </c>
      <c r="AL254">
        <v>2</v>
      </c>
    </row>
    <row r="255" spans="1:38" x14ac:dyDescent="0.2">
      <c r="A255" s="4" t="s">
        <v>134</v>
      </c>
      <c r="B255" s="4" t="s">
        <v>139</v>
      </c>
      <c r="C255" s="4" t="s">
        <v>139</v>
      </c>
      <c r="D255" s="4" t="s">
        <v>139</v>
      </c>
      <c r="E255" s="4" t="s">
        <v>139</v>
      </c>
      <c r="F255" s="21" t="s">
        <v>139</v>
      </c>
      <c r="G255" s="9" t="s">
        <v>139</v>
      </c>
      <c r="H255" s="9" t="s">
        <v>139</v>
      </c>
      <c r="I255" s="9" t="s">
        <v>139</v>
      </c>
      <c r="J255" s="9" t="s">
        <v>139</v>
      </c>
      <c r="K255" s="9" t="s">
        <v>139</v>
      </c>
      <c r="L255" s="9" t="s">
        <v>139</v>
      </c>
      <c r="M255" s="9" t="s">
        <v>139</v>
      </c>
      <c r="N255" s="9" t="s">
        <v>139</v>
      </c>
      <c r="O255" s="9" t="s">
        <v>139</v>
      </c>
      <c r="P255" s="9" t="s">
        <v>139</v>
      </c>
      <c r="Q255" s="9" t="s">
        <v>139</v>
      </c>
      <c r="R255" s="9" t="s">
        <v>139</v>
      </c>
      <c r="S255" s="9" t="s">
        <v>139</v>
      </c>
      <c r="T255" t="s">
        <v>139</v>
      </c>
      <c r="U255" t="s">
        <v>139</v>
      </c>
      <c r="V255" t="s">
        <v>139</v>
      </c>
      <c r="W255" t="s">
        <v>139</v>
      </c>
      <c r="X255" t="s">
        <v>139</v>
      </c>
      <c r="Y255" t="s">
        <v>139</v>
      </c>
      <c r="Z255">
        <v>1</v>
      </c>
      <c r="AA255">
        <v>1</v>
      </c>
      <c r="AB255">
        <v>1</v>
      </c>
      <c r="AC255">
        <v>1</v>
      </c>
      <c r="AD255">
        <v>2</v>
      </c>
      <c r="AE255">
        <v>5</v>
      </c>
      <c r="AF255">
        <v>5</v>
      </c>
      <c r="AG255">
        <v>5</v>
      </c>
      <c r="AH255">
        <v>6</v>
      </c>
      <c r="AI255">
        <v>6</v>
      </c>
      <c r="AJ255">
        <v>6</v>
      </c>
      <c r="AK255">
        <v>6</v>
      </c>
      <c r="AL255">
        <v>6</v>
      </c>
    </row>
    <row r="256" spans="1:38" x14ac:dyDescent="0.2">
      <c r="A256" s="4" t="s">
        <v>135</v>
      </c>
      <c r="B256" s="21" t="s">
        <v>139</v>
      </c>
      <c r="C256" s="21" t="s">
        <v>139</v>
      </c>
      <c r="D256" s="21" t="s">
        <v>139</v>
      </c>
      <c r="E256" s="21" t="s">
        <v>139</v>
      </c>
      <c r="F256" s="21" t="s">
        <v>139</v>
      </c>
      <c r="G256" s="9" t="s">
        <v>139</v>
      </c>
      <c r="H256" s="9" t="s">
        <v>139</v>
      </c>
      <c r="I256" s="9" t="s">
        <v>139</v>
      </c>
      <c r="J256" s="9" t="s">
        <v>139</v>
      </c>
      <c r="K256" s="9" t="s">
        <v>139</v>
      </c>
      <c r="L256" s="9" t="s">
        <v>139</v>
      </c>
      <c r="M256" s="9" t="s">
        <v>139</v>
      </c>
      <c r="N256" s="9" t="s">
        <v>139</v>
      </c>
      <c r="O256" s="9" t="s">
        <v>139</v>
      </c>
      <c r="P256" s="9" t="s">
        <v>139</v>
      </c>
      <c r="Q256" s="9" t="s">
        <v>139</v>
      </c>
      <c r="R256" s="9" t="s">
        <v>139</v>
      </c>
      <c r="S256" s="9" t="s">
        <v>139</v>
      </c>
      <c r="T256" t="s">
        <v>139</v>
      </c>
      <c r="U256" t="s">
        <v>139</v>
      </c>
      <c r="V256" t="s">
        <v>139</v>
      </c>
      <c r="W256" t="s">
        <v>139</v>
      </c>
      <c r="X256" t="s">
        <v>139</v>
      </c>
      <c r="Y256" t="s">
        <v>139</v>
      </c>
      <c r="Z256" t="s">
        <v>139</v>
      </c>
      <c r="AA256" t="s">
        <v>139</v>
      </c>
      <c r="AB256" t="s">
        <v>139</v>
      </c>
      <c r="AC256" t="s">
        <v>139</v>
      </c>
      <c r="AD256" t="s">
        <v>139</v>
      </c>
      <c r="AE256" t="s">
        <v>139</v>
      </c>
      <c r="AF256" t="s">
        <v>139</v>
      </c>
      <c r="AG256" t="s">
        <v>139</v>
      </c>
      <c r="AH256" t="s">
        <v>139</v>
      </c>
      <c r="AI256" t="s">
        <v>139</v>
      </c>
      <c r="AJ256" t="s">
        <v>139</v>
      </c>
      <c r="AK256" t="s">
        <v>139</v>
      </c>
      <c r="AL256" t="s">
        <v>139</v>
      </c>
    </row>
    <row r="257" spans="1:38" x14ac:dyDescent="0.2">
      <c r="A257" s="4" t="s">
        <v>136</v>
      </c>
      <c r="B257" s="21" t="s">
        <v>139</v>
      </c>
      <c r="C257" s="21" t="s">
        <v>139</v>
      </c>
      <c r="D257" s="21" t="s">
        <v>139</v>
      </c>
      <c r="E257" s="21" t="s">
        <v>139</v>
      </c>
      <c r="F257" s="21" t="s">
        <v>139</v>
      </c>
      <c r="G257" s="22" t="s">
        <v>139</v>
      </c>
      <c r="H257" s="22">
        <v>1</v>
      </c>
      <c r="I257" s="22">
        <v>2</v>
      </c>
      <c r="J257" s="22">
        <v>3</v>
      </c>
      <c r="K257" s="22">
        <v>3</v>
      </c>
      <c r="L257" s="22">
        <v>3</v>
      </c>
      <c r="M257" s="22">
        <v>3</v>
      </c>
      <c r="N257" s="22">
        <v>3</v>
      </c>
      <c r="O257" s="22">
        <v>3</v>
      </c>
      <c r="P257" s="23">
        <v>3</v>
      </c>
      <c r="Q257" s="9">
        <v>3</v>
      </c>
      <c r="R257" s="9">
        <v>3</v>
      </c>
      <c r="S257" s="9">
        <v>3</v>
      </c>
      <c r="T257">
        <v>3</v>
      </c>
      <c r="U257">
        <v>4</v>
      </c>
      <c r="V257">
        <v>4</v>
      </c>
      <c r="W257">
        <v>4</v>
      </c>
      <c r="X257">
        <v>4</v>
      </c>
      <c r="Y257">
        <v>4</v>
      </c>
      <c r="Z257">
        <v>4</v>
      </c>
      <c r="AA257">
        <v>4</v>
      </c>
      <c r="AB257">
        <v>3</v>
      </c>
      <c r="AC257">
        <v>3</v>
      </c>
      <c r="AD257">
        <v>4</v>
      </c>
      <c r="AE257">
        <v>5</v>
      </c>
      <c r="AF257">
        <v>5</v>
      </c>
      <c r="AG257">
        <v>5</v>
      </c>
      <c r="AH257">
        <v>5</v>
      </c>
      <c r="AI257">
        <v>5</v>
      </c>
      <c r="AJ257">
        <v>5</v>
      </c>
      <c r="AK257">
        <v>5</v>
      </c>
      <c r="AL257">
        <v>5</v>
      </c>
    </row>
    <row r="258" spans="1:38" x14ac:dyDescent="0.2">
      <c r="A258" s="7" t="s">
        <v>137</v>
      </c>
      <c r="B258" s="8">
        <v>103</v>
      </c>
      <c r="C258" s="8">
        <v>103</v>
      </c>
      <c r="D258" s="8">
        <v>103</v>
      </c>
      <c r="E258" s="8">
        <v>103</v>
      </c>
      <c r="F258" s="8">
        <v>103</v>
      </c>
      <c r="G258" s="9">
        <v>103</v>
      </c>
      <c r="H258" s="4">
        <v>102</v>
      </c>
      <c r="I258" s="4">
        <v>102</v>
      </c>
      <c r="J258" s="4">
        <v>102</v>
      </c>
      <c r="K258" s="4">
        <v>103</v>
      </c>
      <c r="L258" s="4">
        <v>103</v>
      </c>
      <c r="M258" s="4">
        <v>104</v>
      </c>
      <c r="N258" s="4">
        <v>104</v>
      </c>
      <c r="O258" s="4">
        <v>105</v>
      </c>
      <c r="P258" s="4">
        <v>108</v>
      </c>
      <c r="Q258" s="4">
        <v>108</v>
      </c>
      <c r="R258" s="4">
        <v>108</v>
      </c>
      <c r="S258" s="4">
        <v>109</v>
      </c>
      <c r="T258">
        <v>109</v>
      </c>
      <c r="U258">
        <v>109</v>
      </c>
      <c r="V258">
        <v>109</v>
      </c>
      <c r="W258">
        <v>109</v>
      </c>
      <c r="X258">
        <v>109</v>
      </c>
      <c r="Y258">
        <v>109</v>
      </c>
      <c r="Z258">
        <v>108</v>
      </c>
      <c r="AA258">
        <v>108</v>
      </c>
      <c r="AB258">
        <v>108</v>
      </c>
      <c r="AC258">
        <v>109</v>
      </c>
      <c r="AD258">
        <v>109</v>
      </c>
      <c r="AE258">
        <v>108</v>
      </c>
      <c r="AF258">
        <v>108</v>
      </c>
      <c r="AG258">
        <v>108</v>
      </c>
      <c r="AH258">
        <v>106</v>
      </c>
      <c r="AI258">
        <v>107</v>
      </c>
      <c r="AJ258">
        <v>107</v>
      </c>
      <c r="AK258">
        <v>107</v>
      </c>
      <c r="AL258">
        <v>107</v>
      </c>
    </row>
    <row r="260" spans="1:38" ht="22" x14ac:dyDescent="0.3">
      <c r="A260" s="54" t="s">
        <v>152</v>
      </c>
    </row>
    <row r="261" spans="1:38" x14ac:dyDescent="0.2">
      <c r="A261" s="12" t="s">
        <v>101</v>
      </c>
      <c r="B261" s="13" t="s">
        <v>102</v>
      </c>
      <c r="C261" s="13" t="s">
        <v>103</v>
      </c>
      <c r="D261" s="13" t="s">
        <v>104</v>
      </c>
      <c r="E261" s="13" t="s">
        <v>105</v>
      </c>
      <c r="F261" s="13" t="s">
        <v>106</v>
      </c>
      <c r="G261" s="13" t="s">
        <v>107</v>
      </c>
      <c r="H261" s="13" t="s">
        <v>108</v>
      </c>
      <c r="I261" s="13" t="s">
        <v>109</v>
      </c>
      <c r="J261" s="13" t="s">
        <v>110</v>
      </c>
      <c r="K261" s="13" t="s">
        <v>111</v>
      </c>
      <c r="L261" s="13" t="s">
        <v>112</v>
      </c>
      <c r="M261" s="13" t="s">
        <v>113</v>
      </c>
      <c r="N261" s="13" t="s">
        <v>114</v>
      </c>
      <c r="O261" s="13" t="s">
        <v>115</v>
      </c>
      <c r="P261" s="13" t="s">
        <v>116</v>
      </c>
      <c r="Q261" s="13" t="s">
        <v>117</v>
      </c>
      <c r="R261" s="13" t="s">
        <v>118</v>
      </c>
      <c r="S261" s="13" t="s">
        <v>119</v>
      </c>
      <c r="T261" s="13" t="s">
        <v>120</v>
      </c>
      <c r="U261" s="13" t="s">
        <v>121</v>
      </c>
      <c r="V261" s="13" t="s">
        <v>122</v>
      </c>
      <c r="W261" s="13" t="s">
        <v>123</v>
      </c>
      <c r="X261" s="13" t="s">
        <v>124</v>
      </c>
      <c r="Y261" s="13" t="s">
        <v>125</v>
      </c>
      <c r="Z261" s="13" t="s">
        <v>205</v>
      </c>
      <c r="AA261" s="13" t="s">
        <v>206</v>
      </c>
      <c r="AB261" s="13" t="s">
        <v>207</v>
      </c>
      <c r="AC261" s="13" t="s">
        <v>208</v>
      </c>
      <c r="AD261" s="80" t="s">
        <v>210</v>
      </c>
      <c r="AE261" s="80" t="s">
        <v>211</v>
      </c>
      <c r="AF261" s="80" t="s">
        <v>212</v>
      </c>
      <c r="AG261" s="88" t="s">
        <v>213</v>
      </c>
      <c r="AH261" s="88" t="s">
        <v>214</v>
      </c>
      <c r="AI261" s="88" t="s">
        <v>215</v>
      </c>
      <c r="AJ261" s="88" t="s">
        <v>216</v>
      </c>
      <c r="AK261" s="88" t="s">
        <v>217</v>
      </c>
      <c r="AL261" s="88" t="s">
        <v>218</v>
      </c>
    </row>
    <row r="262" spans="1:38" x14ac:dyDescent="0.2">
      <c r="A262" s="1" t="s">
        <v>10</v>
      </c>
      <c r="B262" s="2">
        <v>2.9399999999999999E-2</v>
      </c>
      <c r="C262" s="2">
        <v>2.9399999999999999E-2</v>
      </c>
      <c r="D262" s="2">
        <v>2.9399999999999999E-2</v>
      </c>
      <c r="E262" s="25">
        <v>2.9399999999999999E-2</v>
      </c>
      <c r="F262" s="25">
        <v>2.9399999999999999E-2</v>
      </c>
      <c r="G262" s="3">
        <v>2.9399999999999999E-2</v>
      </c>
      <c r="H262" s="2">
        <v>2.9399999999999999E-2</v>
      </c>
      <c r="I262" s="2">
        <v>2.9399999999999999E-2</v>
      </c>
      <c r="J262" s="2">
        <v>3.0300000000000001E-2</v>
      </c>
      <c r="K262" s="2">
        <v>6.25E-2</v>
      </c>
      <c r="L262" s="2">
        <v>6.25E-2</v>
      </c>
      <c r="M262" s="2">
        <v>6.25E-2</v>
      </c>
      <c r="N262" s="2">
        <v>6.25E-2</v>
      </c>
      <c r="O262" s="2">
        <v>3.2300000000000002E-2</v>
      </c>
      <c r="P262" s="2">
        <v>6.4500000000000002E-2</v>
      </c>
      <c r="Q262" s="2">
        <v>6.4500000000000002E-2</v>
      </c>
      <c r="R262" s="2">
        <v>6.4500000000000002E-2</v>
      </c>
      <c r="S262" s="2">
        <v>6.4500000000000002E-2</v>
      </c>
      <c r="T262" s="78">
        <v>0.125</v>
      </c>
      <c r="U262" s="78">
        <v>0.1515</v>
      </c>
      <c r="V262" s="78">
        <v>0.1515</v>
      </c>
      <c r="W262" s="78">
        <v>0.1515</v>
      </c>
      <c r="X262" s="78">
        <v>0.23330000000000001</v>
      </c>
      <c r="Y262" s="78">
        <v>0.25</v>
      </c>
      <c r="Z262" s="78">
        <v>0.28570000000000001</v>
      </c>
      <c r="AA262" s="78">
        <v>0.32140000000000002</v>
      </c>
      <c r="AB262" s="78">
        <v>0.4</v>
      </c>
      <c r="AC262" s="78">
        <v>0.41670000000000001</v>
      </c>
      <c r="AD262" s="78">
        <v>0.45829999999999999</v>
      </c>
      <c r="AE262" s="85">
        <v>0.45829999999999999</v>
      </c>
      <c r="AF262" s="85">
        <v>0.45829999999999999</v>
      </c>
      <c r="AG262" s="85">
        <v>0.54170000000000007</v>
      </c>
      <c r="AH262" s="85">
        <v>0.54170000000000007</v>
      </c>
      <c r="AI262" s="85">
        <v>0.54170000000000007</v>
      </c>
      <c r="AJ262" s="85">
        <v>0.59089999999999998</v>
      </c>
      <c r="AK262" s="85">
        <v>0.59089999999999998</v>
      </c>
      <c r="AL262" s="85">
        <v>0.68180000000000007</v>
      </c>
    </row>
    <row r="264" spans="1:38" x14ac:dyDescent="0.2">
      <c r="A264" s="12" t="s">
        <v>126</v>
      </c>
      <c r="B264" s="13" t="s">
        <v>102</v>
      </c>
      <c r="C264" s="13" t="s">
        <v>103</v>
      </c>
      <c r="D264" s="13" t="s">
        <v>104</v>
      </c>
      <c r="E264" s="13" t="s">
        <v>105</v>
      </c>
      <c r="F264" s="13" t="s">
        <v>106</v>
      </c>
      <c r="G264" s="13" t="s">
        <v>107</v>
      </c>
      <c r="H264" s="13" t="s">
        <v>108</v>
      </c>
      <c r="I264" s="13" t="s">
        <v>109</v>
      </c>
      <c r="J264" s="13" t="s">
        <v>110</v>
      </c>
      <c r="K264" s="13" t="s">
        <v>111</v>
      </c>
      <c r="L264" s="13" t="s">
        <v>112</v>
      </c>
      <c r="M264" s="13" t="s">
        <v>113</v>
      </c>
      <c r="N264" s="13" t="s">
        <v>114</v>
      </c>
      <c r="O264" s="13" t="s">
        <v>115</v>
      </c>
      <c r="P264" s="13" t="s">
        <v>116</v>
      </c>
      <c r="Q264" s="13" t="s">
        <v>117</v>
      </c>
      <c r="R264" s="13" t="s">
        <v>118</v>
      </c>
      <c r="S264" s="13" t="s">
        <v>119</v>
      </c>
      <c r="T264" s="13" t="s">
        <v>120</v>
      </c>
      <c r="U264" s="13" t="s">
        <v>121</v>
      </c>
      <c r="V264" s="13" t="s">
        <v>122</v>
      </c>
      <c r="W264" s="13" t="s">
        <v>123</v>
      </c>
      <c r="X264" s="13" t="s">
        <v>124</v>
      </c>
      <c r="Y264" s="13" t="s">
        <v>125</v>
      </c>
      <c r="Z264" s="13" t="s">
        <v>205</v>
      </c>
      <c r="AA264" s="13" t="s">
        <v>206</v>
      </c>
      <c r="AB264" s="13" t="s">
        <v>207</v>
      </c>
      <c r="AC264" s="13" t="s">
        <v>208</v>
      </c>
      <c r="AD264" s="80" t="s">
        <v>210</v>
      </c>
      <c r="AE264" s="80" t="s">
        <v>211</v>
      </c>
      <c r="AF264" s="80" t="s">
        <v>212</v>
      </c>
      <c r="AG264" s="88" t="s">
        <v>213</v>
      </c>
      <c r="AH264" s="88" t="s">
        <v>214</v>
      </c>
      <c r="AI264" s="88" t="s">
        <v>215</v>
      </c>
      <c r="AJ264" s="88" t="s">
        <v>216</v>
      </c>
      <c r="AK264" s="88" t="s">
        <v>217</v>
      </c>
      <c r="AL264" s="88" t="s">
        <v>218</v>
      </c>
    </row>
    <row r="265" spans="1:38" x14ac:dyDescent="0.2">
      <c r="A265" s="1" t="s">
        <v>127</v>
      </c>
      <c r="B265" s="4">
        <v>1</v>
      </c>
      <c r="C265" s="4">
        <v>1</v>
      </c>
      <c r="D265" s="4">
        <v>1</v>
      </c>
      <c r="E265" s="4">
        <v>1</v>
      </c>
      <c r="F265" s="20">
        <v>1</v>
      </c>
      <c r="G265" s="4">
        <v>1</v>
      </c>
      <c r="H265" s="4">
        <v>1</v>
      </c>
      <c r="I265" s="4">
        <v>1</v>
      </c>
      <c r="J265" s="4">
        <v>1</v>
      </c>
      <c r="K265" s="4">
        <v>2</v>
      </c>
      <c r="L265" s="4">
        <v>2</v>
      </c>
      <c r="M265" s="4">
        <v>2</v>
      </c>
      <c r="N265" s="4">
        <v>2</v>
      </c>
      <c r="O265" s="4">
        <v>1</v>
      </c>
      <c r="P265" s="4">
        <v>2</v>
      </c>
      <c r="Q265" s="4">
        <v>2</v>
      </c>
      <c r="R265" s="4">
        <v>2</v>
      </c>
      <c r="S265" s="4">
        <v>2</v>
      </c>
      <c r="T265">
        <v>4</v>
      </c>
      <c r="U265">
        <v>5</v>
      </c>
      <c r="V265">
        <v>5</v>
      </c>
      <c r="W265">
        <v>5</v>
      </c>
      <c r="X265">
        <v>7</v>
      </c>
      <c r="Y265">
        <v>7</v>
      </c>
      <c r="Z265">
        <v>8</v>
      </c>
      <c r="AA265">
        <v>9</v>
      </c>
      <c r="AB265">
        <v>10</v>
      </c>
      <c r="AC265">
        <v>10</v>
      </c>
      <c r="AD265">
        <v>11</v>
      </c>
      <c r="AE265">
        <v>11</v>
      </c>
      <c r="AF265">
        <v>11</v>
      </c>
      <c r="AG265">
        <v>13</v>
      </c>
      <c r="AH265">
        <v>13</v>
      </c>
      <c r="AI265">
        <v>13</v>
      </c>
      <c r="AJ265">
        <v>13</v>
      </c>
      <c r="AK265">
        <v>13</v>
      </c>
      <c r="AL265">
        <v>15</v>
      </c>
    </row>
    <row r="266" spans="1:38" x14ac:dyDescent="0.2">
      <c r="A266" s="1" t="s">
        <v>128</v>
      </c>
      <c r="B266" s="4">
        <v>13</v>
      </c>
      <c r="C266" s="4">
        <v>13</v>
      </c>
      <c r="D266" s="4">
        <v>13</v>
      </c>
      <c r="E266" s="4">
        <v>13</v>
      </c>
      <c r="F266" s="20">
        <v>16</v>
      </c>
      <c r="G266" s="4">
        <v>16</v>
      </c>
      <c r="H266" s="4">
        <v>24</v>
      </c>
      <c r="I266" s="4">
        <v>24</v>
      </c>
      <c r="J266" s="4">
        <v>23</v>
      </c>
      <c r="K266" s="4">
        <v>22</v>
      </c>
      <c r="L266" s="4">
        <v>22</v>
      </c>
      <c r="M266" s="4">
        <v>22</v>
      </c>
      <c r="N266" s="4">
        <v>22</v>
      </c>
      <c r="O266" s="4">
        <v>23</v>
      </c>
      <c r="P266" s="4">
        <v>23</v>
      </c>
      <c r="Q266" s="4">
        <v>23</v>
      </c>
      <c r="R266" s="4">
        <v>23</v>
      </c>
      <c r="S266" s="4">
        <v>23</v>
      </c>
      <c r="T266">
        <v>22</v>
      </c>
      <c r="U266">
        <v>28</v>
      </c>
      <c r="V266">
        <v>28</v>
      </c>
      <c r="W266">
        <v>28</v>
      </c>
      <c r="X266">
        <v>23</v>
      </c>
      <c r="Y266">
        <v>21</v>
      </c>
      <c r="Z266">
        <v>20</v>
      </c>
      <c r="AA266">
        <v>19</v>
      </c>
      <c r="AB266">
        <v>15</v>
      </c>
      <c r="AC266">
        <v>14</v>
      </c>
      <c r="AD266">
        <v>13</v>
      </c>
      <c r="AE266">
        <v>13</v>
      </c>
      <c r="AF266">
        <v>13</v>
      </c>
      <c r="AG266">
        <v>11</v>
      </c>
      <c r="AH266">
        <v>11</v>
      </c>
      <c r="AI266">
        <v>11</v>
      </c>
      <c r="AJ266">
        <v>9</v>
      </c>
      <c r="AK266">
        <v>9</v>
      </c>
      <c r="AL266">
        <v>7</v>
      </c>
    </row>
    <row r="267" spans="1:38" x14ac:dyDescent="0.2">
      <c r="A267" s="4" t="s">
        <v>129</v>
      </c>
      <c r="B267" s="21" t="s">
        <v>139</v>
      </c>
      <c r="C267" s="21" t="s">
        <v>139</v>
      </c>
      <c r="D267" s="21" t="s">
        <v>139</v>
      </c>
      <c r="E267" s="21" t="s">
        <v>139</v>
      </c>
      <c r="F267" s="21" t="s">
        <v>139</v>
      </c>
      <c r="G267" s="9" t="s">
        <v>139</v>
      </c>
      <c r="H267" s="9" t="s">
        <v>139</v>
      </c>
      <c r="I267" s="9" t="s">
        <v>139</v>
      </c>
      <c r="J267" s="9" t="s">
        <v>139</v>
      </c>
      <c r="K267" s="9" t="s">
        <v>139</v>
      </c>
      <c r="L267" s="9" t="s">
        <v>139</v>
      </c>
      <c r="M267" s="9" t="s">
        <v>139</v>
      </c>
      <c r="N267" s="9" t="s">
        <v>139</v>
      </c>
      <c r="O267" s="9" t="s">
        <v>139</v>
      </c>
      <c r="P267" s="9" t="s">
        <v>139</v>
      </c>
      <c r="Q267" s="9" t="s">
        <v>139</v>
      </c>
      <c r="R267" s="9" t="s">
        <v>139</v>
      </c>
      <c r="S267" s="9" t="s">
        <v>139</v>
      </c>
      <c r="T267" t="s">
        <v>139</v>
      </c>
      <c r="U267" t="s">
        <v>139</v>
      </c>
      <c r="V267" t="s">
        <v>139</v>
      </c>
      <c r="W267" t="s">
        <v>139</v>
      </c>
      <c r="X267" t="s">
        <v>139</v>
      </c>
      <c r="Y267" t="s">
        <v>139</v>
      </c>
      <c r="Z267" t="s">
        <v>139</v>
      </c>
      <c r="AA267" t="s">
        <v>139</v>
      </c>
      <c r="AB267" t="s">
        <v>139</v>
      </c>
      <c r="AC267" t="s">
        <v>139</v>
      </c>
      <c r="AD267" t="s">
        <v>139</v>
      </c>
      <c r="AE267" t="s">
        <v>139</v>
      </c>
      <c r="AF267" t="s">
        <v>139</v>
      </c>
      <c r="AG267" t="s">
        <v>139</v>
      </c>
      <c r="AH267" t="s">
        <v>139</v>
      </c>
      <c r="AI267" t="s">
        <v>139</v>
      </c>
      <c r="AJ267">
        <v>2</v>
      </c>
      <c r="AK267">
        <v>2</v>
      </c>
      <c r="AL267">
        <v>2</v>
      </c>
    </row>
    <row r="268" spans="1:38" x14ac:dyDescent="0.2">
      <c r="A268" s="1" t="s">
        <v>130</v>
      </c>
      <c r="B268" s="4">
        <v>20</v>
      </c>
      <c r="C268" s="4">
        <v>20</v>
      </c>
      <c r="D268" s="4">
        <v>20</v>
      </c>
      <c r="E268" s="4">
        <v>20</v>
      </c>
      <c r="F268" s="20">
        <v>17</v>
      </c>
      <c r="G268" s="4">
        <v>17</v>
      </c>
      <c r="H268" s="4">
        <v>9</v>
      </c>
      <c r="I268" s="4">
        <v>9</v>
      </c>
      <c r="J268" s="4">
        <v>9</v>
      </c>
      <c r="K268" s="4">
        <v>8</v>
      </c>
      <c r="L268" s="4">
        <v>8</v>
      </c>
      <c r="M268" s="4">
        <v>8</v>
      </c>
      <c r="N268" s="4">
        <v>8</v>
      </c>
      <c r="O268" s="4">
        <v>7</v>
      </c>
      <c r="P268" s="4">
        <v>6</v>
      </c>
      <c r="Q268" s="4">
        <v>6</v>
      </c>
      <c r="R268" s="4">
        <v>6</v>
      </c>
      <c r="S268" s="4">
        <v>6</v>
      </c>
      <c r="T268">
        <v>6</v>
      </c>
      <c r="U268" t="s">
        <v>139</v>
      </c>
      <c r="V268" t="s">
        <v>139</v>
      </c>
      <c r="W268" t="s">
        <v>139</v>
      </c>
      <c r="X268" t="s">
        <v>139</v>
      </c>
      <c r="Y268" t="s">
        <v>139</v>
      </c>
      <c r="Z268" t="s">
        <v>139</v>
      </c>
      <c r="AA268" t="s">
        <v>139</v>
      </c>
      <c r="AB268" t="s">
        <v>139</v>
      </c>
      <c r="AC268" t="s">
        <v>139</v>
      </c>
      <c r="AD268" t="s">
        <v>139</v>
      </c>
      <c r="AE268" t="s">
        <v>139</v>
      </c>
      <c r="AF268" t="s">
        <v>139</v>
      </c>
      <c r="AG268" t="s">
        <v>139</v>
      </c>
      <c r="AH268" t="s">
        <v>139</v>
      </c>
      <c r="AI268" t="s">
        <v>139</v>
      </c>
      <c r="AJ268" t="s">
        <v>139</v>
      </c>
      <c r="AK268" t="s">
        <v>139</v>
      </c>
      <c r="AL268" t="s">
        <v>139</v>
      </c>
    </row>
    <row r="269" spans="1:38" x14ac:dyDescent="0.2">
      <c r="A269" s="4" t="s">
        <v>131</v>
      </c>
      <c r="B269" s="4">
        <v>2</v>
      </c>
      <c r="C269" s="4">
        <v>2</v>
      </c>
      <c r="D269" s="4">
        <v>2</v>
      </c>
      <c r="E269" s="4">
        <v>2</v>
      </c>
      <c r="F269" s="20">
        <v>2</v>
      </c>
      <c r="G269" s="4">
        <v>2</v>
      </c>
      <c r="H269" s="4">
        <v>2</v>
      </c>
      <c r="I269" s="4">
        <v>2</v>
      </c>
      <c r="J269" s="4">
        <v>3</v>
      </c>
      <c r="K269" s="4">
        <v>3</v>
      </c>
      <c r="L269" s="4">
        <v>3</v>
      </c>
      <c r="M269" s="4">
        <v>3</v>
      </c>
      <c r="N269" s="4">
        <v>3</v>
      </c>
      <c r="O269" s="4">
        <v>3</v>
      </c>
      <c r="P269" s="4">
        <v>3</v>
      </c>
      <c r="Q269" s="4">
        <v>3</v>
      </c>
      <c r="R269" s="4">
        <v>3</v>
      </c>
      <c r="S269" s="4">
        <v>3</v>
      </c>
      <c r="T269">
        <v>2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  <c r="AI269">
        <v>1</v>
      </c>
      <c r="AJ269">
        <v>1</v>
      </c>
      <c r="AK269">
        <v>1</v>
      </c>
      <c r="AL269">
        <v>1</v>
      </c>
    </row>
    <row r="270" spans="1:38" x14ac:dyDescent="0.2">
      <c r="A270" s="4" t="s">
        <v>132</v>
      </c>
      <c r="B270" s="4" t="s">
        <v>139</v>
      </c>
      <c r="C270" s="4" t="s">
        <v>139</v>
      </c>
      <c r="D270" s="4" t="s">
        <v>139</v>
      </c>
      <c r="E270" s="4" t="s">
        <v>139</v>
      </c>
      <c r="F270" s="20" t="s">
        <v>139</v>
      </c>
      <c r="G270" s="4" t="s">
        <v>139</v>
      </c>
      <c r="H270" s="4" t="s">
        <v>139</v>
      </c>
      <c r="I270" s="4" t="s">
        <v>139</v>
      </c>
      <c r="J270" s="4" t="s">
        <v>139</v>
      </c>
      <c r="K270" s="4" t="s">
        <v>139</v>
      </c>
      <c r="L270" s="4" t="s">
        <v>139</v>
      </c>
      <c r="M270" s="4" t="s">
        <v>139</v>
      </c>
      <c r="N270" s="4" t="s">
        <v>139</v>
      </c>
      <c r="O270" s="4" t="s">
        <v>139</v>
      </c>
      <c r="P270" s="4" t="s">
        <v>139</v>
      </c>
      <c r="Q270" s="4" t="s">
        <v>139</v>
      </c>
      <c r="R270" s="4" t="s">
        <v>139</v>
      </c>
      <c r="S270" s="4" t="s">
        <v>139</v>
      </c>
      <c r="T270" t="s">
        <v>139</v>
      </c>
      <c r="U270" t="s">
        <v>139</v>
      </c>
      <c r="V270" t="s">
        <v>139</v>
      </c>
      <c r="W270" t="s">
        <v>139</v>
      </c>
      <c r="X270">
        <v>2</v>
      </c>
      <c r="Y270">
        <v>2</v>
      </c>
      <c r="Z270">
        <v>2</v>
      </c>
      <c r="AA270">
        <v>2</v>
      </c>
      <c r="AB270">
        <v>2</v>
      </c>
      <c r="AC270">
        <v>2</v>
      </c>
      <c r="AD270">
        <v>2</v>
      </c>
      <c r="AE270">
        <v>2</v>
      </c>
      <c r="AF270">
        <v>2</v>
      </c>
      <c r="AG270">
        <v>2</v>
      </c>
      <c r="AH270">
        <v>2</v>
      </c>
      <c r="AI270">
        <v>2</v>
      </c>
      <c r="AJ270">
        <v>2</v>
      </c>
      <c r="AK270">
        <v>2</v>
      </c>
      <c r="AL270">
        <v>2</v>
      </c>
    </row>
    <row r="271" spans="1:38" x14ac:dyDescent="0.2">
      <c r="A271" s="4" t="s">
        <v>133</v>
      </c>
      <c r="B271" s="4" t="s">
        <v>139</v>
      </c>
      <c r="C271" s="4" t="s">
        <v>139</v>
      </c>
      <c r="D271" s="4" t="s">
        <v>139</v>
      </c>
      <c r="E271" s="4" t="s">
        <v>139</v>
      </c>
      <c r="F271" s="20" t="s">
        <v>139</v>
      </c>
      <c r="G271" s="4" t="s">
        <v>139</v>
      </c>
      <c r="H271" s="4" t="s">
        <v>139</v>
      </c>
      <c r="I271" s="4" t="s">
        <v>139</v>
      </c>
      <c r="J271" s="4" t="s">
        <v>139</v>
      </c>
      <c r="K271" s="4">
        <v>1</v>
      </c>
      <c r="L271" s="4">
        <v>1</v>
      </c>
      <c r="M271" s="4">
        <v>1</v>
      </c>
      <c r="N271" s="4">
        <v>1</v>
      </c>
      <c r="O271" s="4">
        <v>1</v>
      </c>
      <c r="P271" s="4">
        <v>1</v>
      </c>
      <c r="Q271" s="4">
        <v>1</v>
      </c>
      <c r="R271" s="4">
        <v>1</v>
      </c>
      <c r="S271" s="4">
        <v>1</v>
      </c>
      <c r="T271">
        <v>1</v>
      </c>
      <c r="U271">
        <v>1</v>
      </c>
      <c r="V271">
        <v>1</v>
      </c>
      <c r="W271">
        <v>1</v>
      </c>
      <c r="X271">
        <v>2</v>
      </c>
      <c r="Y271">
        <v>4</v>
      </c>
      <c r="Z271">
        <v>4</v>
      </c>
      <c r="AA271">
        <v>4</v>
      </c>
      <c r="AB271">
        <v>6</v>
      </c>
      <c r="AC271">
        <v>6</v>
      </c>
      <c r="AD271">
        <v>6</v>
      </c>
      <c r="AE271">
        <v>6</v>
      </c>
      <c r="AF271">
        <v>6</v>
      </c>
      <c r="AG271">
        <v>6</v>
      </c>
      <c r="AH271">
        <v>6</v>
      </c>
      <c r="AI271">
        <v>6</v>
      </c>
      <c r="AJ271">
        <v>6</v>
      </c>
      <c r="AK271">
        <v>6</v>
      </c>
      <c r="AL271">
        <v>6</v>
      </c>
    </row>
    <row r="272" spans="1:38" x14ac:dyDescent="0.2">
      <c r="A272" s="4" t="s">
        <v>134</v>
      </c>
      <c r="B272" s="4" t="s">
        <v>139</v>
      </c>
      <c r="C272" s="4" t="s">
        <v>139</v>
      </c>
      <c r="D272" s="4" t="s">
        <v>139</v>
      </c>
      <c r="E272" s="4" t="s">
        <v>139</v>
      </c>
      <c r="F272" s="21" t="s">
        <v>139</v>
      </c>
      <c r="G272" s="9" t="s">
        <v>139</v>
      </c>
      <c r="H272" s="9" t="s">
        <v>139</v>
      </c>
      <c r="I272" s="9" t="s">
        <v>139</v>
      </c>
      <c r="J272" s="9" t="s">
        <v>139</v>
      </c>
      <c r="K272" s="9" t="s">
        <v>139</v>
      </c>
      <c r="L272" s="9" t="s">
        <v>139</v>
      </c>
      <c r="M272" s="9" t="s">
        <v>139</v>
      </c>
      <c r="N272" s="9" t="s">
        <v>139</v>
      </c>
      <c r="O272" s="9" t="s">
        <v>139</v>
      </c>
      <c r="P272" s="9" t="s">
        <v>139</v>
      </c>
      <c r="Q272" s="9" t="s">
        <v>139</v>
      </c>
      <c r="R272" s="9" t="s">
        <v>139</v>
      </c>
      <c r="S272" s="9" t="s">
        <v>139</v>
      </c>
      <c r="T272" t="s">
        <v>139</v>
      </c>
      <c r="U272" t="s">
        <v>139</v>
      </c>
      <c r="V272" t="s">
        <v>139</v>
      </c>
      <c r="W272" t="s">
        <v>139</v>
      </c>
      <c r="X272" t="s">
        <v>139</v>
      </c>
      <c r="Y272" t="s">
        <v>139</v>
      </c>
      <c r="Z272" t="s">
        <v>139</v>
      </c>
      <c r="AA272" t="s">
        <v>139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1</v>
      </c>
      <c r="AJ272">
        <v>1</v>
      </c>
      <c r="AK272">
        <v>1</v>
      </c>
      <c r="AL272">
        <v>1</v>
      </c>
    </row>
    <row r="273" spans="1:38" x14ac:dyDescent="0.2">
      <c r="A273" s="4" t="s">
        <v>135</v>
      </c>
      <c r="B273" s="21" t="s">
        <v>139</v>
      </c>
      <c r="C273" s="21" t="s">
        <v>139</v>
      </c>
      <c r="D273" s="21" t="s">
        <v>139</v>
      </c>
      <c r="E273" s="21" t="s">
        <v>139</v>
      </c>
      <c r="F273" s="21" t="s">
        <v>139</v>
      </c>
      <c r="G273" s="9" t="s">
        <v>139</v>
      </c>
      <c r="H273" s="9" t="s">
        <v>139</v>
      </c>
      <c r="I273" s="9" t="s">
        <v>139</v>
      </c>
      <c r="J273" s="9" t="s">
        <v>139</v>
      </c>
      <c r="K273" s="9" t="s">
        <v>139</v>
      </c>
      <c r="L273" s="9" t="s">
        <v>139</v>
      </c>
      <c r="M273" s="9" t="s">
        <v>139</v>
      </c>
      <c r="N273" s="9" t="s">
        <v>139</v>
      </c>
      <c r="O273" s="9" t="s">
        <v>139</v>
      </c>
      <c r="P273" s="9" t="s">
        <v>139</v>
      </c>
      <c r="Q273" s="9" t="s">
        <v>139</v>
      </c>
      <c r="R273" s="9" t="s">
        <v>139</v>
      </c>
      <c r="S273" s="9" t="s">
        <v>139</v>
      </c>
      <c r="T273" t="s">
        <v>139</v>
      </c>
      <c r="U273" t="s">
        <v>139</v>
      </c>
      <c r="V273" t="s">
        <v>139</v>
      </c>
      <c r="W273" t="s">
        <v>139</v>
      </c>
      <c r="X273" t="s">
        <v>139</v>
      </c>
      <c r="Y273" t="s">
        <v>139</v>
      </c>
      <c r="Z273" t="s">
        <v>139</v>
      </c>
      <c r="AA273" t="s">
        <v>139</v>
      </c>
      <c r="AB273" t="s">
        <v>139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  <c r="AK273">
        <v>1</v>
      </c>
      <c r="AL273">
        <v>1</v>
      </c>
    </row>
    <row r="274" spans="1:38" x14ac:dyDescent="0.2">
      <c r="A274" s="4" t="s">
        <v>136</v>
      </c>
      <c r="B274" s="21" t="s">
        <v>139</v>
      </c>
      <c r="C274" s="21" t="s">
        <v>139</v>
      </c>
      <c r="D274" s="21" t="s">
        <v>139</v>
      </c>
      <c r="E274" s="21" t="s">
        <v>139</v>
      </c>
      <c r="F274" s="21" t="s">
        <v>139</v>
      </c>
      <c r="G274" s="22" t="s">
        <v>139</v>
      </c>
      <c r="H274" s="22" t="s">
        <v>139</v>
      </c>
      <c r="I274" s="22" t="s">
        <v>139</v>
      </c>
      <c r="J274" s="22" t="s">
        <v>139</v>
      </c>
      <c r="K274" s="22" t="s">
        <v>139</v>
      </c>
      <c r="L274" s="22" t="s">
        <v>139</v>
      </c>
      <c r="M274" s="22" t="s">
        <v>139</v>
      </c>
      <c r="N274" s="22" t="s">
        <v>139</v>
      </c>
      <c r="O274" s="22" t="s">
        <v>139</v>
      </c>
      <c r="P274" s="23" t="s">
        <v>139</v>
      </c>
      <c r="Q274" s="9" t="s">
        <v>139</v>
      </c>
      <c r="R274" s="9" t="s">
        <v>139</v>
      </c>
      <c r="S274" s="9" t="s">
        <v>139</v>
      </c>
      <c r="T274" t="s">
        <v>139</v>
      </c>
      <c r="U274" t="s">
        <v>139</v>
      </c>
      <c r="V274" t="s">
        <v>139</v>
      </c>
      <c r="W274" t="s">
        <v>139</v>
      </c>
      <c r="X274" t="s">
        <v>139</v>
      </c>
      <c r="Y274" t="s">
        <v>139</v>
      </c>
      <c r="Z274" t="s">
        <v>139</v>
      </c>
      <c r="AA274" t="s">
        <v>139</v>
      </c>
      <c r="AB274" t="s">
        <v>139</v>
      </c>
      <c r="AC274" t="s">
        <v>139</v>
      </c>
      <c r="AD274" t="s">
        <v>139</v>
      </c>
      <c r="AE274" t="s">
        <v>139</v>
      </c>
      <c r="AF274" t="s">
        <v>139</v>
      </c>
      <c r="AG274" t="s">
        <v>139</v>
      </c>
      <c r="AH274" t="s">
        <v>139</v>
      </c>
      <c r="AI274" t="s">
        <v>139</v>
      </c>
      <c r="AJ274" t="s">
        <v>139</v>
      </c>
      <c r="AK274" t="s">
        <v>139</v>
      </c>
      <c r="AL274" t="s">
        <v>139</v>
      </c>
    </row>
    <row r="275" spans="1:38" x14ac:dyDescent="0.2">
      <c r="A275" s="7" t="s">
        <v>137</v>
      </c>
      <c r="B275" s="8">
        <v>36</v>
      </c>
      <c r="C275" s="8">
        <v>36</v>
      </c>
      <c r="D275" s="8">
        <v>36</v>
      </c>
      <c r="E275" s="8">
        <v>36</v>
      </c>
      <c r="F275" s="8">
        <v>36</v>
      </c>
      <c r="G275" s="9">
        <v>36</v>
      </c>
      <c r="H275" s="4">
        <v>36</v>
      </c>
      <c r="I275" s="4">
        <v>36</v>
      </c>
      <c r="J275" s="4">
        <v>36</v>
      </c>
      <c r="K275" s="4">
        <v>36</v>
      </c>
      <c r="L275" s="4">
        <v>36</v>
      </c>
      <c r="M275" s="4">
        <v>36</v>
      </c>
      <c r="N275" s="4">
        <v>36</v>
      </c>
      <c r="O275" s="4">
        <v>35</v>
      </c>
      <c r="P275" s="4">
        <v>35</v>
      </c>
      <c r="Q275" s="4">
        <v>35</v>
      </c>
      <c r="R275" s="4">
        <v>35</v>
      </c>
      <c r="S275" s="4">
        <v>35</v>
      </c>
      <c r="T275">
        <v>35</v>
      </c>
      <c r="U275">
        <v>35</v>
      </c>
      <c r="V275">
        <v>35</v>
      </c>
      <c r="W275">
        <v>35</v>
      </c>
      <c r="X275">
        <v>35</v>
      </c>
      <c r="Y275">
        <v>35</v>
      </c>
      <c r="Z275">
        <v>35</v>
      </c>
      <c r="AA275">
        <v>35</v>
      </c>
      <c r="AB275">
        <v>35</v>
      </c>
      <c r="AC275">
        <v>35</v>
      </c>
      <c r="AD275">
        <v>35</v>
      </c>
      <c r="AE275">
        <v>35</v>
      </c>
      <c r="AF275">
        <v>35</v>
      </c>
      <c r="AG275">
        <v>35</v>
      </c>
      <c r="AH275">
        <v>35</v>
      </c>
      <c r="AI275">
        <v>35</v>
      </c>
      <c r="AJ275">
        <v>35</v>
      </c>
      <c r="AK275">
        <v>35</v>
      </c>
      <c r="AL275">
        <v>35</v>
      </c>
    </row>
  </sheetData>
  <phoneticPr fontId="5" type="noConversion"/>
  <pageMargins left="0.7" right="0.7" top="0.75" bottom="0.75" header="0.3" footer="0.3"/>
  <pageSetup orientation="portrait" r:id="rId1"/>
  <tableParts count="36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33462-F00B-486E-BEC7-5A1E067FA725}">
  <dimension ref="B1:S38"/>
  <sheetViews>
    <sheetView showGridLines="0" topLeftCell="A2" zoomScaleNormal="100" workbookViewId="0">
      <selection activeCell="T23" sqref="T23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3" width="7.33203125" bestFit="1" customWidth="1"/>
    <col min="14" max="14" width="8" bestFit="1" customWidth="1"/>
    <col min="15" max="16" width="7.33203125" bestFit="1" customWidth="1"/>
    <col min="17" max="18" width="8.1640625" bestFit="1" customWidth="1"/>
    <col min="19" max="19" width="7.332031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s">
        <v>177</v>
      </c>
      <c r="J1" s="30"/>
    </row>
    <row r="21" spans="2:19" ht="27" x14ac:dyDescent="0.35">
      <c r="B21" s="55" t="s">
        <v>178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s">
        <v>209</v>
      </c>
      <c r="S23" s="65"/>
    </row>
    <row r="24" spans="2:19" ht="19.5" customHeight="1" x14ac:dyDescent="0.2">
      <c r="M24" s="66" t="s">
        <v>156</v>
      </c>
      <c r="N24" s="56" t="s">
        <v>157</v>
      </c>
      <c r="O24" s="57" t="s">
        <v>158</v>
      </c>
      <c r="P24" s="58" t="s">
        <v>159</v>
      </c>
      <c r="Q24" s="59" t="s">
        <v>160</v>
      </c>
      <c r="R24" s="60" t="s">
        <v>161</v>
      </c>
      <c r="S24" s="67" t="s">
        <v>162</v>
      </c>
    </row>
    <row r="25" spans="2:19" ht="19.5" customHeight="1" x14ac:dyDescent="0.2">
      <c r="M25" s="68" t="s">
        <v>163</v>
      </c>
      <c r="N25" s="39"/>
      <c r="O25" s="40">
        <v>0.2878787878787879</v>
      </c>
      <c r="P25" s="41">
        <v>0.17391304347826086</v>
      </c>
      <c r="Q25" s="42">
        <v>7.3529411764705885E-2</v>
      </c>
      <c r="R25" s="43">
        <v>8.2191780821917804E-2</v>
      </c>
      <c r="S25" s="69">
        <v>0.22950819672131148</v>
      </c>
    </row>
    <row r="26" spans="2:19" ht="19.5" customHeight="1" x14ac:dyDescent="0.2">
      <c r="M26" s="70" t="s">
        <v>164</v>
      </c>
      <c r="N26" s="44"/>
      <c r="O26" s="45">
        <v>0.33333333333333331</v>
      </c>
      <c r="P26" s="46">
        <v>0.33333333333333331</v>
      </c>
      <c r="Q26" s="47">
        <v>8.8235294117647065E-2</v>
      </c>
      <c r="R26" s="48">
        <v>0.20547945205479451</v>
      </c>
      <c r="S26" s="71">
        <v>0.31147540983606559</v>
      </c>
    </row>
    <row r="27" spans="2:19" ht="19.5" customHeight="1" x14ac:dyDescent="0.2">
      <c r="M27" s="70" t="s">
        <v>165</v>
      </c>
      <c r="N27" s="44">
        <v>0.29360000000000003</v>
      </c>
      <c r="O27" s="49">
        <v>0.37878787878787878</v>
      </c>
      <c r="P27" s="50">
        <v>0.44927536231884058</v>
      </c>
      <c r="Q27" s="51">
        <v>0.14705882352941177</v>
      </c>
      <c r="R27" s="52">
        <v>0.26027397260273971</v>
      </c>
      <c r="S27" s="72">
        <v>0.31147540983606559</v>
      </c>
    </row>
    <row r="28" spans="2:19" ht="19.5" customHeight="1" x14ac:dyDescent="0.2">
      <c r="M28" s="70" t="s">
        <v>166</v>
      </c>
      <c r="N28" s="44">
        <v>0.3271</v>
      </c>
      <c r="O28" s="45">
        <v>0.42424242424242425</v>
      </c>
      <c r="P28" s="46">
        <v>0.52173913043478259</v>
      </c>
      <c r="Q28" s="47">
        <v>0.23529411764705882</v>
      </c>
      <c r="R28" s="48">
        <v>0.31506849315068491</v>
      </c>
      <c r="S28" s="71">
        <v>0.4098360655737705</v>
      </c>
    </row>
    <row r="29" spans="2:19" ht="19.5" customHeight="1" x14ac:dyDescent="0.2">
      <c r="M29" s="70" t="s">
        <v>167</v>
      </c>
      <c r="N29" s="44">
        <v>0.3448</v>
      </c>
      <c r="O29" s="49">
        <v>0.45454545454545453</v>
      </c>
      <c r="P29" s="50">
        <v>0.59420289855072461</v>
      </c>
      <c r="Q29" s="51">
        <v>0.3235294117647059</v>
      </c>
      <c r="R29" s="52">
        <v>0.34246575342465752</v>
      </c>
      <c r="S29" s="72">
        <v>0.42622950819672129</v>
      </c>
    </row>
    <row r="30" spans="2:19" ht="19.5" customHeight="1" x14ac:dyDescent="0.2">
      <c r="M30" s="70" t="s">
        <v>168</v>
      </c>
      <c r="N30" s="44">
        <v>0.4466</v>
      </c>
      <c r="O30" s="45">
        <v>0.53030303030303028</v>
      </c>
      <c r="P30" s="46">
        <v>0.62318840579710144</v>
      </c>
      <c r="Q30" s="47">
        <v>0.38235294117647056</v>
      </c>
      <c r="R30" s="48">
        <v>0.36986301369863012</v>
      </c>
      <c r="S30" s="71">
        <v>0.44262295081967212</v>
      </c>
    </row>
    <row r="31" spans="2:19" ht="19.5" customHeight="1" x14ac:dyDescent="0.2">
      <c r="M31" s="70" t="s">
        <v>169</v>
      </c>
      <c r="N31" s="44">
        <v>0.52129999999999999</v>
      </c>
      <c r="O31" s="49">
        <v>0.66666666666666663</v>
      </c>
      <c r="P31" s="50">
        <v>0.72463768115942029</v>
      </c>
      <c r="Q31" s="51">
        <v>0.48529411764705882</v>
      </c>
      <c r="R31" s="52">
        <v>0.57534246575342463</v>
      </c>
      <c r="S31" s="72">
        <v>0.49180327868852458</v>
      </c>
    </row>
    <row r="32" spans="2:19" ht="19.5" customHeight="1" x14ac:dyDescent="0.2">
      <c r="M32" s="70" t="s">
        <v>170</v>
      </c>
      <c r="N32" s="44">
        <v>0.61180000000000001</v>
      </c>
      <c r="O32" s="45">
        <v>0.78787878787878785</v>
      </c>
      <c r="P32" s="46">
        <v>0.79710144927536231</v>
      </c>
      <c r="Q32" s="47">
        <v>0.86764705882352944</v>
      </c>
      <c r="R32" s="48">
        <v>0.82191780821917804</v>
      </c>
      <c r="S32" s="71">
        <v>0.72131147540983609</v>
      </c>
    </row>
    <row r="33" spans="13:19" ht="19.5" customHeight="1" x14ac:dyDescent="0.2">
      <c r="M33" s="70" t="s">
        <v>171</v>
      </c>
      <c r="N33" s="44">
        <v>0.8871</v>
      </c>
      <c r="O33" s="49">
        <v>0.89393939393939392</v>
      </c>
      <c r="P33" s="50">
        <v>0.91304347826086951</v>
      </c>
      <c r="Q33" s="51">
        <v>0.94117647058823528</v>
      </c>
      <c r="R33" s="52">
        <v>0.95890410958904104</v>
      </c>
      <c r="S33" s="72">
        <v>0.83606557377049184</v>
      </c>
    </row>
    <row r="34" spans="13:19" ht="19.5" customHeight="1" x14ac:dyDescent="0.2">
      <c r="M34" s="70" t="s">
        <v>172</v>
      </c>
      <c r="N34" s="89">
        <v>0.96609999999999996</v>
      </c>
      <c r="O34" s="45">
        <v>0.96969696969696972</v>
      </c>
      <c r="P34" s="46">
        <v>0.94202898550724634</v>
      </c>
      <c r="Q34" s="47">
        <v>0.94117647058823528</v>
      </c>
      <c r="R34" s="48">
        <v>0.95890410958904104</v>
      </c>
      <c r="S34" s="71">
        <v>0.86885245901639341</v>
      </c>
    </row>
    <row r="35" spans="13:19" ht="19.5" customHeight="1" x14ac:dyDescent="0.2">
      <c r="M35" s="70" t="s">
        <v>173</v>
      </c>
      <c r="N35" s="92">
        <v>1</v>
      </c>
      <c r="O35" s="49">
        <v>0.96969696969696972</v>
      </c>
      <c r="P35" s="50">
        <v>0.98550724637681164</v>
      </c>
      <c r="Q35" s="51">
        <v>0.95588235294117652</v>
      </c>
      <c r="R35" s="52">
        <v>1</v>
      </c>
      <c r="S35" s="72">
        <v>0.90163934426229508</v>
      </c>
    </row>
    <row r="36" spans="13:19" ht="19.5" customHeight="1" x14ac:dyDescent="0.2">
      <c r="M36" s="70" t="s">
        <v>174</v>
      </c>
      <c r="N36" s="44"/>
      <c r="O36" s="45">
        <v>0.98484848484848486</v>
      </c>
      <c r="P36" s="46">
        <v>0.98550724637681164</v>
      </c>
      <c r="Q36" s="47">
        <v>1</v>
      </c>
      <c r="R36" s="48">
        <v>1</v>
      </c>
      <c r="S36" s="71">
        <v>0.91803278688524592</v>
      </c>
    </row>
    <row r="37" spans="13:19" ht="19.5" customHeight="1" x14ac:dyDescent="0.2">
      <c r="M37" s="70" t="s">
        <v>175</v>
      </c>
      <c r="N37" s="44"/>
      <c r="O37" s="49">
        <v>0.98484848484848486</v>
      </c>
      <c r="P37" s="50">
        <v>0.98550724637681164</v>
      </c>
      <c r="Q37" s="51">
        <v>1</v>
      </c>
      <c r="R37" s="52">
        <v>1</v>
      </c>
      <c r="S37" s="72">
        <v>0.95081967213114749</v>
      </c>
    </row>
    <row r="38" spans="13:19" ht="19.5" customHeight="1" x14ac:dyDescent="0.2">
      <c r="M38" s="70" t="s">
        <v>176</v>
      </c>
      <c r="N38" s="44"/>
      <c r="O38" s="45">
        <v>0.98484848484848486</v>
      </c>
      <c r="P38" s="46">
        <v>0.98550724637681164</v>
      </c>
      <c r="Q38" s="47">
        <v>1</v>
      </c>
      <c r="R38" s="48">
        <v>1</v>
      </c>
      <c r="S38" s="71">
        <v>0.95081967213114749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13178-3B94-41AB-BAFF-93366C96A950}">
  <dimension ref="B1:S38"/>
  <sheetViews>
    <sheetView showGridLines="0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6" width="7.33203125" bestFit="1" customWidth="1"/>
    <col min="17" max="18" width="8.1640625" bestFit="1" customWidth="1"/>
    <col min="19" max="19" width="7.332031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s">
        <v>179</v>
      </c>
      <c r="J1" s="30"/>
    </row>
    <row r="21" spans="2:19" ht="27" x14ac:dyDescent="0.35">
      <c r="B21" s="55" t="s">
        <v>180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s">
        <v>209</v>
      </c>
      <c r="S23" s="65"/>
    </row>
    <row r="24" spans="2:19" ht="19.5" customHeight="1" x14ac:dyDescent="0.2">
      <c r="M24" s="66" t="s">
        <v>156</v>
      </c>
      <c r="N24" s="56" t="s">
        <v>157</v>
      </c>
      <c r="O24" s="57" t="s">
        <v>158</v>
      </c>
      <c r="P24" s="58" t="s">
        <v>159</v>
      </c>
      <c r="Q24" s="59" t="s">
        <v>160</v>
      </c>
      <c r="R24" s="60" t="s">
        <v>161</v>
      </c>
      <c r="S24" s="67" t="s">
        <v>162</v>
      </c>
    </row>
    <row r="25" spans="2:19" ht="19.5" customHeight="1" x14ac:dyDescent="0.2">
      <c r="M25" s="68" t="s">
        <v>163</v>
      </c>
      <c r="N25" s="39"/>
      <c r="O25" s="40">
        <v>0.08</v>
      </c>
      <c r="P25" s="41">
        <v>6.25E-2</v>
      </c>
      <c r="Q25" s="42">
        <v>6.1728395061728392E-2</v>
      </c>
      <c r="R25" s="43">
        <v>5.8823529411764705E-2</v>
      </c>
      <c r="S25" s="69">
        <v>3.7499999999999999E-2</v>
      </c>
    </row>
    <row r="26" spans="2:19" ht="19.5" customHeight="1" x14ac:dyDescent="0.2">
      <c r="M26" s="70" t="s">
        <v>164</v>
      </c>
      <c r="N26" s="44"/>
      <c r="O26" s="45">
        <v>0.09</v>
      </c>
      <c r="P26" s="46">
        <v>6.25E-2</v>
      </c>
      <c r="Q26" s="47">
        <v>8.6419753086419748E-2</v>
      </c>
      <c r="R26" s="48">
        <v>7.3529411764705885E-2</v>
      </c>
      <c r="S26" s="71">
        <v>0.05</v>
      </c>
    </row>
    <row r="27" spans="2:19" ht="19.5" customHeight="1" x14ac:dyDescent="0.2">
      <c r="M27" s="70" t="s">
        <v>165</v>
      </c>
      <c r="N27" s="44">
        <v>0.12790000000000001</v>
      </c>
      <c r="O27" s="49">
        <v>0.1</v>
      </c>
      <c r="P27" s="50">
        <v>6.25E-2</v>
      </c>
      <c r="Q27" s="51">
        <v>0.12345679012345678</v>
      </c>
      <c r="R27" s="52">
        <v>0.11764705882352941</v>
      </c>
      <c r="S27" s="72">
        <v>7.4999999999999997E-2</v>
      </c>
    </row>
    <row r="28" spans="2:19" ht="19.5" customHeight="1" x14ac:dyDescent="0.2">
      <c r="M28" s="70" t="s">
        <v>166</v>
      </c>
      <c r="N28" s="44">
        <v>0.13769999999999999</v>
      </c>
      <c r="O28" s="45">
        <v>0.11</v>
      </c>
      <c r="P28" s="46">
        <v>8.7499999999999994E-2</v>
      </c>
      <c r="Q28" s="47">
        <v>0.16049382716049382</v>
      </c>
      <c r="R28" s="48">
        <v>0.13235294117647059</v>
      </c>
      <c r="S28" s="71">
        <v>7.4999999999999997E-2</v>
      </c>
    </row>
    <row r="29" spans="2:19" ht="19.5" customHeight="1" x14ac:dyDescent="0.2">
      <c r="M29" s="70" t="s">
        <v>167</v>
      </c>
      <c r="N29" s="44">
        <v>0.17680000000000001</v>
      </c>
      <c r="O29" s="49">
        <v>0.12</v>
      </c>
      <c r="P29" s="50">
        <v>0.1125</v>
      </c>
      <c r="Q29" s="51">
        <v>0.16049382716049382</v>
      </c>
      <c r="R29" s="52">
        <v>0.16176470588235295</v>
      </c>
      <c r="S29" s="72">
        <v>0.1125</v>
      </c>
    </row>
    <row r="30" spans="2:19" ht="19.5" customHeight="1" x14ac:dyDescent="0.2">
      <c r="M30" s="70" t="s">
        <v>168</v>
      </c>
      <c r="N30" s="53">
        <v>0.18629999999999999</v>
      </c>
      <c r="O30" s="45">
        <v>0.2</v>
      </c>
      <c r="P30" s="46">
        <v>0.25</v>
      </c>
      <c r="Q30" s="47">
        <v>0.1728395061728395</v>
      </c>
      <c r="R30" s="48">
        <v>0.19117647058823528</v>
      </c>
      <c r="S30" s="71">
        <v>0.1125</v>
      </c>
    </row>
    <row r="31" spans="2:19" ht="19.5" customHeight="1" x14ac:dyDescent="0.2">
      <c r="M31" s="70" t="s">
        <v>169</v>
      </c>
      <c r="N31" s="53">
        <v>0.19109999999999999</v>
      </c>
      <c r="O31" s="49">
        <v>0.24</v>
      </c>
      <c r="P31" s="50">
        <v>0.28749999999999998</v>
      </c>
      <c r="Q31" s="51">
        <v>0.1728395061728395</v>
      </c>
      <c r="R31" s="52">
        <v>0.23529411764705882</v>
      </c>
      <c r="S31" s="72">
        <v>0.1125</v>
      </c>
    </row>
    <row r="32" spans="2:19" ht="19.5" customHeight="1" x14ac:dyDescent="0.2">
      <c r="M32" s="70" t="s">
        <v>170</v>
      </c>
      <c r="N32" s="53">
        <v>0.30919999999999997</v>
      </c>
      <c r="O32" s="45">
        <v>0.31</v>
      </c>
      <c r="P32" s="46">
        <v>0.28749999999999998</v>
      </c>
      <c r="Q32" s="47">
        <v>0.27160493827160492</v>
      </c>
      <c r="R32" s="48">
        <v>0.3235294117647059</v>
      </c>
      <c r="S32" s="71">
        <v>0.25</v>
      </c>
    </row>
    <row r="33" spans="13:19" ht="19.5" customHeight="1" x14ac:dyDescent="0.2">
      <c r="M33" s="70" t="s">
        <v>171</v>
      </c>
      <c r="N33" s="53">
        <v>0.53280000000000005</v>
      </c>
      <c r="O33" s="49">
        <v>0.44</v>
      </c>
      <c r="P33" s="50">
        <v>0.65</v>
      </c>
      <c r="Q33" s="51">
        <v>0.37037037037037035</v>
      </c>
      <c r="R33" s="52">
        <v>0.41176470588235292</v>
      </c>
      <c r="S33" s="72">
        <v>0.46250000000000002</v>
      </c>
    </row>
    <row r="34" spans="13:19" ht="19.5" customHeight="1" x14ac:dyDescent="0.2">
      <c r="M34" s="70" t="s">
        <v>172</v>
      </c>
      <c r="N34" s="89">
        <v>0.67480000000000007</v>
      </c>
      <c r="O34" s="45">
        <v>0.51</v>
      </c>
      <c r="P34" s="46">
        <v>0.6875</v>
      </c>
      <c r="Q34" s="47">
        <v>0.4567901234567901</v>
      </c>
      <c r="R34" s="48">
        <v>0.52941176470588236</v>
      </c>
      <c r="S34" s="71">
        <v>0.57499999999999996</v>
      </c>
    </row>
    <row r="35" spans="13:19" ht="19.5" customHeight="1" x14ac:dyDescent="0.2">
      <c r="M35" s="70" t="s">
        <v>173</v>
      </c>
      <c r="N35" s="92">
        <v>0.84209999999999996</v>
      </c>
      <c r="O35" s="49">
        <v>0.52</v>
      </c>
      <c r="P35" s="50">
        <v>0.8</v>
      </c>
      <c r="Q35" s="51">
        <v>0.51851851851851849</v>
      </c>
      <c r="R35" s="52">
        <v>0.57352941176470584</v>
      </c>
      <c r="S35" s="72">
        <v>0.7</v>
      </c>
    </row>
    <row r="36" spans="13:19" ht="19.5" customHeight="1" x14ac:dyDescent="0.2">
      <c r="M36" s="70" t="s">
        <v>174</v>
      </c>
      <c r="N36" s="44"/>
      <c r="O36" s="45">
        <v>0.73</v>
      </c>
      <c r="P36" s="46">
        <v>0.97499999999999998</v>
      </c>
      <c r="Q36" s="47">
        <v>0.75308641975308643</v>
      </c>
      <c r="R36" s="48">
        <v>0.8970588235294118</v>
      </c>
      <c r="S36" s="71">
        <v>0.82499999999999996</v>
      </c>
    </row>
    <row r="37" spans="13:19" ht="19.5" customHeight="1" x14ac:dyDescent="0.2">
      <c r="M37" s="70" t="s">
        <v>175</v>
      </c>
      <c r="N37" s="44"/>
      <c r="O37" s="49">
        <v>0.79</v>
      </c>
      <c r="P37" s="50">
        <v>0.97499999999999998</v>
      </c>
      <c r="Q37" s="51">
        <v>0.79012345679012341</v>
      </c>
      <c r="R37" s="52">
        <v>0.92647058823529416</v>
      </c>
      <c r="S37" s="72">
        <v>0.85</v>
      </c>
    </row>
    <row r="38" spans="13:19" ht="19.5" customHeight="1" x14ac:dyDescent="0.2">
      <c r="M38" s="70" t="s">
        <v>176</v>
      </c>
      <c r="N38" s="44"/>
      <c r="O38" s="45">
        <v>0.96</v>
      </c>
      <c r="P38" s="46">
        <v>0.98750000000000004</v>
      </c>
      <c r="Q38" s="47">
        <v>0.8271604938271605</v>
      </c>
      <c r="R38" s="48">
        <v>0.95588235294117652</v>
      </c>
      <c r="S38" s="71">
        <v>0.86250000000000004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C7C0A-76DC-4635-8D4A-854D9D076C69}">
  <dimension ref="B1:S38"/>
  <sheetViews>
    <sheetView showGridLines="0" topLeftCell="A2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5" width="7.33203125" bestFit="1" customWidth="1"/>
    <col min="16" max="18" width="8.1640625" bestFit="1" customWidth="1"/>
    <col min="19" max="19" width="7.332031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s">
        <v>181</v>
      </c>
      <c r="J1" s="30"/>
    </row>
    <row r="21" spans="2:19" ht="27" x14ac:dyDescent="0.35">
      <c r="B21" s="55" t="s">
        <v>182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s">
        <v>209</v>
      </c>
      <c r="S23" s="65"/>
    </row>
    <row r="24" spans="2:19" ht="19.5" customHeight="1" x14ac:dyDescent="0.2">
      <c r="M24" s="66" t="s">
        <v>156</v>
      </c>
      <c r="N24" s="56" t="s">
        <v>157</v>
      </c>
      <c r="O24" s="57" t="s">
        <v>158</v>
      </c>
      <c r="P24" s="58" t="s">
        <v>159</v>
      </c>
      <c r="Q24" s="59" t="s">
        <v>160</v>
      </c>
      <c r="R24" s="60" t="s">
        <v>161</v>
      </c>
      <c r="S24" s="67" t="s">
        <v>162</v>
      </c>
    </row>
    <row r="25" spans="2:19" ht="19.5" customHeight="1" x14ac:dyDescent="0.2">
      <c r="M25" s="68" t="s">
        <v>163</v>
      </c>
      <c r="N25" s="39"/>
      <c r="O25" s="40">
        <v>0.22727272727272727</v>
      </c>
      <c r="P25" s="41">
        <v>0.16</v>
      </c>
      <c r="Q25" s="42">
        <v>0.1875</v>
      </c>
      <c r="R25" s="43">
        <v>0.15789473684210525</v>
      </c>
      <c r="S25" s="69">
        <v>0.16</v>
      </c>
    </row>
    <row r="26" spans="2:19" ht="19.5" customHeight="1" x14ac:dyDescent="0.2">
      <c r="M26" s="70" t="s">
        <v>164</v>
      </c>
      <c r="N26" s="44"/>
      <c r="O26" s="45">
        <v>0.22727272727272727</v>
      </c>
      <c r="P26" s="46">
        <v>0.16</v>
      </c>
      <c r="Q26" s="47">
        <v>0.1875</v>
      </c>
      <c r="R26" s="48">
        <v>0.15789473684210525</v>
      </c>
      <c r="S26" s="71">
        <v>0.16</v>
      </c>
    </row>
    <row r="27" spans="2:19" ht="19.5" customHeight="1" x14ac:dyDescent="0.2">
      <c r="M27" s="70" t="s">
        <v>165</v>
      </c>
      <c r="N27" s="44">
        <v>0.15870000000000001</v>
      </c>
      <c r="O27" s="49">
        <v>0.22727272727272727</v>
      </c>
      <c r="P27" s="50">
        <v>0.2</v>
      </c>
      <c r="Q27" s="51">
        <v>0.1875</v>
      </c>
      <c r="R27" s="52">
        <v>0.26315789473684209</v>
      </c>
      <c r="S27" s="72">
        <v>0.16</v>
      </c>
    </row>
    <row r="28" spans="2:19" ht="19.5" customHeight="1" x14ac:dyDescent="0.2">
      <c r="M28" s="70" t="s">
        <v>166</v>
      </c>
      <c r="N28" s="44">
        <v>0.1406</v>
      </c>
      <c r="O28" s="45">
        <v>0.22727272727272727</v>
      </c>
      <c r="P28" s="46">
        <v>0.2</v>
      </c>
      <c r="Q28" s="47">
        <v>0.25</v>
      </c>
      <c r="R28" s="48">
        <v>0.26315789473684209</v>
      </c>
      <c r="S28" s="71">
        <v>0.16</v>
      </c>
    </row>
    <row r="29" spans="2:19" ht="19.5" customHeight="1" x14ac:dyDescent="0.2">
      <c r="M29" s="70" t="s">
        <v>167</v>
      </c>
      <c r="N29" s="44">
        <v>0.1739</v>
      </c>
      <c r="O29" s="49">
        <v>0.22727272727272727</v>
      </c>
      <c r="P29" s="50">
        <v>0.2</v>
      </c>
      <c r="Q29" s="51">
        <v>0.25</v>
      </c>
      <c r="R29" s="52">
        <v>0.26315789473684209</v>
      </c>
      <c r="S29" s="72">
        <v>0.16</v>
      </c>
    </row>
    <row r="30" spans="2:19" ht="19.5" customHeight="1" x14ac:dyDescent="0.2">
      <c r="M30" s="70" t="s">
        <v>168</v>
      </c>
      <c r="N30" s="53">
        <v>0.22389999999999999</v>
      </c>
      <c r="O30" s="45">
        <v>0.40909090909090912</v>
      </c>
      <c r="P30" s="46">
        <v>0.2</v>
      </c>
      <c r="Q30" s="47">
        <v>0.25</v>
      </c>
      <c r="R30" s="48">
        <v>0.26315789473684209</v>
      </c>
      <c r="S30" s="71">
        <v>0.2</v>
      </c>
    </row>
    <row r="31" spans="2:19" ht="19.5" customHeight="1" x14ac:dyDescent="0.2">
      <c r="M31" s="70" t="s">
        <v>169</v>
      </c>
      <c r="N31" s="44">
        <v>0.2273</v>
      </c>
      <c r="O31" s="49">
        <v>0.45454545454545453</v>
      </c>
      <c r="P31" s="50">
        <v>0.28000000000000003</v>
      </c>
      <c r="Q31" s="51">
        <v>0.25</v>
      </c>
      <c r="R31" s="52">
        <v>0.26315789473684209</v>
      </c>
      <c r="S31" s="72">
        <v>0.2</v>
      </c>
    </row>
    <row r="32" spans="2:19" ht="19.5" customHeight="1" x14ac:dyDescent="0.2">
      <c r="M32" s="70" t="s">
        <v>170</v>
      </c>
      <c r="N32" s="44">
        <v>0.2424</v>
      </c>
      <c r="O32" s="45">
        <v>0.59090909090909094</v>
      </c>
      <c r="P32" s="46">
        <v>0.32</v>
      </c>
      <c r="Q32" s="47">
        <v>0.3125</v>
      </c>
      <c r="R32" s="48">
        <v>0.26315789473684209</v>
      </c>
      <c r="S32" s="71">
        <v>0.2</v>
      </c>
    </row>
    <row r="33" spans="13:19" ht="19.5" customHeight="1" x14ac:dyDescent="0.2">
      <c r="M33" s="70" t="s">
        <v>171</v>
      </c>
      <c r="N33" s="44">
        <v>0.28570000000000001</v>
      </c>
      <c r="O33" s="49">
        <v>0.59090909090909094</v>
      </c>
      <c r="P33" s="50">
        <v>0.4</v>
      </c>
      <c r="Q33" s="51">
        <v>0.375</v>
      </c>
      <c r="R33" s="52">
        <v>0.26315789473684209</v>
      </c>
      <c r="S33" s="72">
        <v>0.24</v>
      </c>
    </row>
    <row r="34" spans="13:19" ht="19.5" customHeight="1" x14ac:dyDescent="0.2">
      <c r="M34" s="70" t="s">
        <v>172</v>
      </c>
      <c r="N34" s="89">
        <v>0.35089999999999999</v>
      </c>
      <c r="O34" s="45">
        <v>0.63636363636363635</v>
      </c>
      <c r="P34" s="46">
        <v>0.4</v>
      </c>
      <c r="Q34" s="47">
        <v>0.8125</v>
      </c>
      <c r="R34" s="48">
        <v>0.26315789473684209</v>
      </c>
      <c r="S34" s="71">
        <v>0.24</v>
      </c>
    </row>
    <row r="35" spans="13:19" ht="19.5" customHeight="1" x14ac:dyDescent="0.2">
      <c r="M35" s="70" t="s">
        <v>173</v>
      </c>
      <c r="N35" s="92">
        <v>0.5333</v>
      </c>
      <c r="O35" s="49">
        <v>0.63636363636363635</v>
      </c>
      <c r="P35" s="50">
        <v>0.4</v>
      </c>
      <c r="Q35" s="51">
        <v>0.875</v>
      </c>
      <c r="R35" s="52">
        <v>0.31578947368421051</v>
      </c>
      <c r="S35" s="72">
        <v>0.88</v>
      </c>
    </row>
    <row r="36" spans="13:19" ht="19.5" customHeight="1" x14ac:dyDescent="0.2">
      <c r="M36" s="70" t="s">
        <v>174</v>
      </c>
      <c r="N36" s="44"/>
      <c r="O36" s="45">
        <v>0.68181818181818177</v>
      </c>
      <c r="P36" s="46">
        <v>1</v>
      </c>
      <c r="Q36" s="47">
        <v>0.875</v>
      </c>
      <c r="R36" s="48">
        <v>0.78947368421052633</v>
      </c>
      <c r="S36" s="71">
        <v>0.88</v>
      </c>
    </row>
    <row r="37" spans="13:19" ht="19.5" customHeight="1" x14ac:dyDescent="0.2">
      <c r="M37" s="70" t="s">
        <v>175</v>
      </c>
      <c r="N37" s="44"/>
      <c r="O37" s="49">
        <v>0.95454545454545459</v>
      </c>
      <c r="P37" s="50">
        <v>1</v>
      </c>
      <c r="Q37" s="51">
        <v>0.875</v>
      </c>
      <c r="R37" s="52">
        <v>0.78947368421052633</v>
      </c>
      <c r="S37" s="72">
        <v>0.92</v>
      </c>
    </row>
    <row r="38" spans="13:19" ht="19.5" customHeight="1" x14ac:dyDescent="0.2">
      <c r="M38" s="70" t="s">
        <v>176</v>
      </c>
      <c r="N38" s="44"/>
      <c r="O38" s="45">
        <v>0.95454545454545459</v>
      </c>
      <c r="P38" s="46">
        <v>1</v>
      </c>
      <c r="Q38" s="47">
        <v>0.875</v>
      </c>
      <c r="R38" s="48">
        <v>0.78947368421052633</v>
      </c>
      <c r="S38" s="71">
        <v>0.92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DB14D-B0C6-4E70-B8A7-510CF9045756}">
  <dimension ref="B1:S38"/>
  <sheetViews>
    <sheetView showGridLines="0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5" width="7.33203125" bestFit="1" customWidth="1"/>
    <col min="16" max="18" width="8.1640625" bestFit="1" customWidth="1"/>
    <col min="19" max="19" width="7.332031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s">
        <v>183</v>
      </c>
      <c r="J1" s="30"/>
    </row>
    <row r="21" spans="2:19" ht="27" x14ac:dyDescent="0.35">
      <c r="B21" s="55" t="s">
        <v>184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s">
        <v>209</v>
      </c>
      <c r="S23" s="65"/>
    </row>
    <row r="24" spans="2:19" ht="19.5" customHeight="1" x14ac:dyDescent="0.2">
      <c r="M24" s="66" t="s">
        <v>156</v>
      </c>
      <c r="N24" s="56" t="s">
        <v>157</v>
      </c>
      <c r="O24" s="57" t="s">
        <v>158</v>
      </c>
      <c r="P24" s="58" t="s">
        <v>159</v>
      </c>
      <c r="Q24" s="59" t="s">
        <v>160</v>
      </c>
      <c r="R24" s="60" t="s">
        <v>161</v>
      </c>
      <c r="S24" s="67" t="s">
        <v>162</v>
      </c>
    </row>
    <row r="25" spans="2:19" ht="19.5" customHeight="1" x14ac:dyDescent="0.2">
      <c r="M25" s="68" t="s">
        <v>163</v>
      </c>
      <c r="N25" s="39"/>
      <c r="O25" s="40">
        <v>7.8787878787878782E-2</v>
      </c>
      <c r="P25" s="41">
        <v>6.4705882352941183E-2</v>
      </c>
      <c r="Q25" s="42">
        <v>0.10975609756097561</v>
      </c>
      <c r="R25" s="43">
        <v>0.16770186335403728</v>
      </c>
      <c r="S25" s="69">
        <v>0.2013888888888889</v>
      </c>
    </row>
    <row r="26" spans="2:19" ht="19.5" customHeight="1" x14ac:dyDescent="0.2">
      <c r="M26" s="70" t="s">
        <v>164</v>
      </c>
      <c r="N26" s="44"/>
      <c r="O26" s="45">
        <v>0.14545454545454545</v>
      </c>
      <c r="P26" s="46">
        <v>0.10588235294117647</v>
      </c>
      <c r="Q26" s="47">
        <v>0.14634146341463414</v>
      </c>
      <c r="R26" s="48">
        <v>0.2608695652173913</v>
      </c>
      <c r="S26" s="71">
        <v>0.25694444444444442</v>
      </c>
    </row>
    <row r="27" spans="2:19" ht="19.5" customHeight="1" x14ac:dyDescent="0.2">
      <c r="M27" s="70" t="s">
        <v>165</v>
      </c>
      <c r="N27" s="44">
        <v>0.2989</v>
      </c>
      <c r="O27" s="49">
        <v>0.38787878787878788</v>
      </c>
      <c r="P27" s="50">
        <v>0.31764705882352939</v>
      </c>
      <c r="Q27" s="51">
        <v>0.28048780487804881</v>
      </c>
      <c r="R27" s="52">
        <v>0.36645962732919257</v>
      </c>
      <c r="S27" s="72">
        <v>0.27083333333333331</v>
      </c>
    </row>
    <row r="28" spans="2:19" ht="19.5" customHeight="1" x14ac:dyDescent="0.2">
      <c r="M28" s="70" t="s">
        <v>166</v>
      </c>
      <c r="N28" s="44">
        <v>0.42509999999999998</v>
      </c>
      <c r="O28" s="45">
        <v>0.45454545454545453</v>
      </c>
      <c r="P28" s="46">
        <v>0.35882352941176471</v>
      </c>
      <c r="Q28" s="47">
        <v>0.53048780487804881</v>
      </c>
      <c r="R28" s="48">
        <v>0.43478260869565216</v>
      </c>
      <c r="S28" s="71">
        <v>0.44444444444444442</v>
      </c>
    </row>
    <row r="29" spans="2:19" ht="19.5" customHeight="1" x14ac:dyDescent="0.2">
      <c r="M29" s="70" t="s">
        <v>167</v>
      </c>
      <c r="N29" s="44">
        <v>0.53649999999999998</v>
      </c>
      <c r="O29" s="49">
        <v>0.50303030303030305</v>
      </c>
      <c r="P29" s="50">
        <v>0.42352941176470588</v>
      </c>
      <c r="Q29" s="51">
        <v>0.54268292682926833</v>
      </c>
      <c r="R29" s="52">
        <v>0.48447204968944102</v>
      </c>
      <c r="S29" s="72">
        <v>0.52083333333333337</v>
      </c>
    </row>
    <row r="30" spans="2:19" ht="19.5" customHeight="1" x14ac:dyDescent="0.2">
      <c r="M30" s="70" t="s">
        <v>168</v>
      </c>
      <c r="N30" s="53">
        <v>0.62450000000000006</v>
      </c>
      <c r="O30" s="45">
        <v>0.5757575757575758</v>
      </c>
      <c r="P30" s="46">
        <v>0.54705882352941182</v>
      </c>
      <c r="Q30" s="47">
        <v>0.58536585365853655</v>
      </c>
      <c r="R30" s="48">
        <v>0.52795031055900621</v>
      </c>
      <c r="S30" s="71">
        <v>0.53472222222222221</v>
      </c>
    </row>
    <row r="31" spans="2:19" ht="19.5" customHeight="1" x14ac:dyDescent="0.2">
      <c r="M31" s="70" t="s">
        <v>169</v>
      </c>
      <c r="N31" s="44">
        <v>0.69330000000000003</v>
      </c>
      <c r="O31" s="49">
        <v>0.61212121212121207</v>
      </c>
      <c r="P31" s="50">
        <v>0.62941176470588234</v>
      </c>
      <c r="Q31" s="51">
        <v>0.67682926829268297</v>
      </c>
      <c r="R31" s="52">
        <v>0.70807453416149069</v>
      </c>
      <c r="S31" s="72">
        <v>0.55555555555555558</v>
      </c>
    </row>
    <row r="32" spans="2:19" ht="19.5" customHeight="1" x14ac:dyDescent="0.2">
      <c r="M32" s="70" t="s">
        <v>170</v>
      </c>
      <c r="N32" s="44">
        <v>0.7944</v>
      </c>
      <c r="O32" s="45">
        <v>0.68484848484848482</v>
      </c>
      <c r="P32" s="46">
        <v>0.71176470588235297</v>
      </c>
      <c r="Q32" s="47">
        <v>0.75609756097560976</v>
      </c>
      <c r="R32" s="48">
        <v>0.81366459627329191</v>
      </c>
      <c r="S32" s="71">
        <v>0.75</v>
      </c>
    </row>
    <row r="33" spans="13:19" ht="19.5" customHeight="1" x14ac:dyDescent="0.2">
      <c r="M33" s="70" t="s">
        <v>171</v>
      </c>
      <c r="N33" s="44">
        <v>0.88349999999999995</v>
      </c>
      <c r="O33" s="49">
        <v>0.80606060606060603</v>
      </c>
      <c r="P33" s="50">
        <v>0.77058823529411768</v>
      </c>
      <c r="Q33" s="51">
        <v>0.80487804878048785</v>
      </c>
      <c r="R33" s="52">
        <v>0.86956521739130432</v>
      </c>
      <c r="S33" s="72">
        <v>0.83333333333333337</v>
      </c>
    </row>
    <row r="34" spans="13:19" ht="19.5" customHeight="1" x14ac:dyDescent="0.2">
      <c r="M34" s="70" t="s">
        <v>172</v>
      </c>
      <c r="N34" s="89">
        <v>0.9104000000000001</v>
      </c>
      <c r="O34" s="45">
        <v>0.87878787878787878</v>
      </c>
      <c r="P34" s="46">
        <v>0.8294117647058824</v>
      </c>
      <c r="Q34" s="47">
        <v>0.83536585365853655</v>
      </c>
      <c r="R34" s="48">
        <v>0.90683229813664601</v>
      </c>
      <c r="S34" s="71">
        <v>0.85416666666666663</v>
      </c>
    </row>
    <row r="35" spans="13:19" ht="19.5" customHeight="1" x14ac:dyDescent="0.2">
      <c r="M35" s="70" t="s">
        <v>173</v>
      </c>
      <c r="N35" s="92">
        <v>0.93230000000000002</v>
      </c>
      <c r="O35" s="49">
        <v>0.89090909090909087</v>
      </c>
      <c r="P35" s="50">
        <v>0.88823529411764701</v>
      </c>
      <c r="Q35" s="51">
        <v>0.89634146341463417</v>
      </c>
      <c r="R35" s="52">
        <v>0.93788819875776397</v>
      </c>
      <c r="S35" s="72">
        <v>0.875</v>
      </c>
    </row>
    <row r="36" spans="13:19" ht="19.5" customHeight="1" x14ac:dyDescent="0.2">
      <c r="M36" s="70" t="s">
        <v>174</v>
      </c>
      <c r="N36" s="44"/>
      <c r="O36" s="45">
        <v>0.96363636363636362</v>
      </c>
      <c r="P36" s="46">
        <v>0.95882352941176474</v>
      </c>
      <c r="Q36" s="47">
        <v>0.95731707317073167</v>
      </c>
      <c r="R36" s="48">
        <v>0.97515527950310554</v>
      </c>
      <c r="S36" s="71">
        <v>0.89583333333333337</v>
      </c>
    </row>
    <row r="37" spans="13:19" ht="19.5" customHeight="1" x14ac:dyDescent="0.2">
      <c r="M37" s="70" t="s">
        <v>175</v>
      </c>
      <c r="N37" s="44"/>
      <c r="O37" s="49">
        <v>0.96363636363636362</v>
      </c>
      <c r="P37" s="50">
        <v>0.97647058823529409</v>
      </c>
      <c r="Q37" s="51">
        <v>0.96951219512195119</v>
      </c>
      <c r="R37" s="52">
        <v>0.97515527950310554</v>
      </c>
      <c r="S37" s="72">
        <v>0.95138888888888884</v>
      </c>
    </row>
    <row r="38" spans="13:19" ht="19.5" customHeight="1" x14ac:dyDescent="0.2">
      <c r="M38" s="70" t="s">
        <v>176</v>
      </c>
      <c r="N38" s="44"/>
      <c r="O38" s="45">
        <v>0.97575757575757571</v>
      </c>
      <c r="P38" s="46">
        <v>0.97647058823529409</v>
      </c>
      <c r="Q38" s="47">
        <v>0.98170731707317072</v>
      </c>
      <c r="R38" s="48">
        <v>0.97515527950310554</v>
      </c>
      <c r="S38" s="71">
        <v>0.96527777777777779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9EC87-48EF-4D3A-A3A4-548023180715}">
  <dimension ref="B1:S38"/>
  <sheetViews>
    <sheetView showGridLines="0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5" width="7.33203125" bestFit="1" customWidth="1"/>
    <col min="16" max="19" width="8.16406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s">
        <v>185</v>
      </c>
      <c r="J1" s="30"/>
    </row>
    <row r="21" spans="2:19" ht="27" x14ac:dyDescent="0.35">
      <c r="B21" s="55" t="s">
        <v>186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s">
        <v>209</v>
      </c>
      <c r="S23" s="65"/>
    </row>
    <row r="24" spans="2:19" ht="19.5" customHeight="1" x14ac:dyDescent="0.2">
      <c r="M24" s="66" t="s">
        <v>156</v>
      </c>
      <c r="N24" s="56" t="s">
        <v>157</v>
      </c>
      <c r="O24" s="57" t="s">
        <v>158</v>
      </c>
      <c r="P24" s="58" t="s">
        <v>159</v>
      </c>
      <c r="Q24" s="59" t="s">
        <v>160</v>
      </c>
      <c r="R24" s="60" t="s">
        <v>161</v>
      </c>
      <c r="S24" s="67" t="s">
        <v>162</v>
      </c>
    </row>
    <row r="25" spans="2:19" ht="19.5" customHeight="1" x14ac:dyDescent="0.2">
      <c r="M25" s="68" t="s">
        <v>163</v>
      </c>
      <c r="N25" s="39"/>
      <c r="O25" s="40">
        <v>0.11711711711711711</v>
      </c>
      <c r="P25" s="41">
        <v>0.15384615384615385</v>
      </c>
      <c r="Q25" s="42">
        <v>0.18055555555555555</v>
      </c>
      <c r="R25" s="43">
        <v>0.189873417721519</v>
      </c>
      <c r="S25" s="69">
        <v>0.13750000000000001</v>
      </c>
    </row>
    <row r="26" spans="2:19" ht="19.5" customHeight="1" x14ac:dyDescent="0.2">
      <c r="M26" s="70" t="s">
        <v>164</v>
      </c>
      <c r="N26" s="44"/>
      <c r="O26" s="45">
        <v>0.11711711711711711</v>
      </c>
      <c r="P26" s="46">
        <v>0.28846153846153844</v>
      </c>
      <c r="Q26" s="47">
        <v>0.2361111111111111</v>
      </c>
      <c r="R26" s="48">
        <v>0.39240506329113922</v>
      </c>
      <c r="S26" s="71">
        <v>0.26250000000000001</v>
      </c>
    </row>
    <row r="27" spans="2:19" ht="19.5" customHeight="1" x14ac:dyDescent="0.2">
      <c r="M27" s="70" t="s">
        <v>165</v>
      </c>
      <c r="N27" s="44">
        <v>0.2361</v>
      </c>
      <c r="O27" s="49">
        <v>0.15315315315315314</v>
      </c>
      <c r="P27" s="50">
        <v>0.375</v>
      </c>
      <c r="Q27" s="51">
        <v>0.43055555555555558</v>
      </c>
      <c r="R27" s="52">
        <v>0.55696202531645567</v>
      </c>
      <c r="S27" s="72">
        <v>0.5</v>
      </c>
    </row>
    <row r="28" spans="2:19" ht="19.5" customHeight="1" x14ac:dyDescent="0.2">
      <c r="M28" s="70" t="s">
        <v>166</v>
      </c>
      <c r="N28" s="44">
        <v>0.27779999999999999</v>
      </c>
      <c r="O28" s="45">
        <v>0.34234234234234234</v>
      </c>
      <c r="P28" s="46">
        <v>0.46153846153846156</v>
      </c>
      <c r="Q28" s="47">
        <v>0.61111111111111116</v>
      </c>
      <c r="R28" s="48">
        <v>0.69620253164556967</v>
      </c>
      <c r="S28" s="71">
        <v>0.7</v>
      </c>
    </row>
    <row r="29" spans="2:19" ht="19.5" customHeight="1" x14ac:dyDescent="0.2">
      <c r="M29" s="70" t="s">
        <v>167</v>
      </c>
      <c r="N29" s="44">
        <v>0.36730000000000002</v>
      </c>
      <c r="O29" s="49">
        <v>0.36936936936936937</v>
      </c>
      <c r="P29" s="50">
        <v>0.50961538461538458</v>
      </c>
      <c r="Q29" s="51">
        <v>0.68055555555555558</v>
      </c>
      <c r="R29" s="52">
        <v>0.78481012658227844</v>
      </c>
      <c r="S29" s="72">
        <v>0.71250000000000002</v>
      </c>
    </row>
    <row r="30" spans="2:19" ht="19.5" customHeight="1" x14ac:dyDescent="0.2">
      <c r="M30" s="70" t="s">
        <v>168</v>
      </c>
      <c r="N30" s="53">
        <v>0.46479999999999999</v>
      </c>
      <c r="O30" s="45">
        <v>0.45945945945945948</v>
      </c>
      <c r="P30" s="46">
        <v>0.66346153846153844</v>
      </c>
      <c r="Q30" s="47">
        <v>0.70833333333333337</v>
      </c>
      <c r="R30" s="48">
        <v>0.810126582278481</v>
      </c>
      <c r="S30" s="71">
        <v>0.8125</v>
      </c>
    </row>
    <row r="31" spans="2:19" ht="19.5" customHeight="1" x14ac:dyDescent="0.2">
      <c r="M31" s="70" t="s">
        <v>169</v>
      </c>
      <c r="N31" s="44">
        <v>0.54010000000000002</v>
      </c>
      <c r="O31" s="49">
        <v>0.51351351351351349</v>
      </c>
      <c r="P31" s="50">
        <v>0.74038461538461542</v>
      </c>
      <c r="Q31" s="51">
        <v>0.72222222222222221</v>
      </c>
      <c r="R31" s="52">
        <v>0.87341772151898733</v>
      </c>
      <c r="S31" s="72">
        <v>0.86250000000000004</v>
      </c>
    </row>
    <row r="32" spans="2:19" ht="19.5" customHeight="1" x14ac:dyDescent="0.2">
      <c r="M32" s="70" t="s">
        <v>170</v>
      </c>
      <c r="N32" s="44">
        <v>0.61760000000000004</v>
      </c>
      <c r="O32" s="45">
        <v>0.6216216216216216</v>
      </c>
      <c r="P32" s="46">
        <v>0.80769230769230771</v>
      </c>
      <c r="Q32" s="47">
        <v>0.875</v>
      </c>
      <c r="R32" s="48">
        <v>0.91139240506329111</v>
      </c>
      <c r="S32" s="71">
        <v>0.9375</v>
      </c>
    </row>
    <row r="33" spans="13:19" ht="19.5" customHeight="1" x14ac:dyDescent="0.2">
      <c r="M33" s="70" t="s">
        <v>171</v>
      </c>
      <c r="N33" s="44">
        <v>0.79369999999999996</v>
      </c>
      <c r="O33" s="49">
        <v>0.7927927927927928</v>
      </c>
      <c r="P33" s="50">
        <v>0.84615384615384615</v>
      </c>
      <c r="Q33" s="51">
        <v>0.90277777777777779</v>
      </c>
      <c r="R33" s="52">
        <v>0.97468354430379744</v>
      </c>
      <c r="S33" s="72">
        <v>0.97499999999999998</v>
      </c>
    </row>
    <row r="34" spans="13:19" ht="19.5" customHeight="1" x14ac:dyDescent="0.2">
      <c r="M34" s="70" t="s">
        <v>172</v>
      </c>
      <c r="N34" s="89">
        <v>0.84</v>
      </c>
      <c r="O34" s="45">
        <v>0.81081081081081086</v>
      </c>
      <c r="P34" s="46">
        <v>0.89423076923076927</v>
      </c>
      <c r="Q34" s="47">
        <v>0.91666666666666663</v>
      </c>
      <c r="R34" s="48">
        <v>0.98734177215189878</v>
      </c>
      <c r="S34" s="71">
        <v>0.97499999999999998</v>
      </c>
    </row>
    <row r="35" spans="13:19" ht="19.5" customHeight="1" x14ac:dyDescent="0.2">
      <c r="M35" s="70" t="s">
        <v>173</v>
      </c>
      <c r="N35" s="92">
        <v>0.91670000000000007</v>
      </c>
      <c r="O35" s="49">
        <v>0.86486486486486491</v>
      </c>
      <c r="P35" s="50">
        <v>0.92307692307692313</v>
      </c>
      <c r="Q35" s="51">
        <v>0.95833333333333337</v>
      </c>
      <c r="R35" s="52">
        <v>1</v>
      </c>
      <c r="S35" s="72">
        <v>0.98750000000000004</v>
      </c>
    </row>
    <row r="36" spans="13:19" ht="19.5" customHeight="1" x14ac:dyDescent="0.2">
      <c r="M36" s="70" t="s">
        <v>174</v>
      </c>
      <c r="N36" s="44"/>
      <c r="O36" s="45">
        <v>0.92792792792792789</v>
      </c>
      <c r="P36" s="46">
        <v>0.94230769230769229</v>
      </c>
      <c r="Q36" s="47">
        <v>0.97222222222222221</v>
      </c>
      <c r="R36" s="48">
        <v>1</v>
      </c>
      <c r="S36" s="71">
        <v>0.98750000000000004</v>
      </c>
    </row>
    <row r="37" spans="13:19" ht="19.5" customHeight="1" x14ac:dyDescent="0.2">
      <c r="M37" s="70" t="s">
        <v>175</v>
      </c>
      <c r="N37" s="44"/>
      <c r="O37" s="49">
        <v>0.92792792792792789</v>
      </c>
      <c r="P37" s="50">
        <v>0.94230769230769229</v>
      </c>
      <c r="Q37" s="51">
        <v>0.98611111111111116</v>
      </c>
      <c r="R37" s="52">
        <v>1</v>
      </c>
      <c r="S37" s="72">
        <v>1</v>
      </c>
    </row>
    <row r="38" spans="13:19" ht="19.5" customHeight="1" x14ac:dyDescent="0.2">
      <c r="M38" s="70" t="s">
        <v>176</v>
      </c>
      <c r="N38" s="44"/>
      <c r="O38" s="45">
        <v>0.963963963963964</v>
      </c>
      <c r="P38" s="46">
        <v>0.95192307692307687</v>
      </c>
      <c r="Q38" s="47">
        <v>0.98611111111111116</v>
      </c>
      <c r="R38" s="48">
        <v>1</v>
      </c>
      <c r="S38" s="71">
        <v>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94A1E-7E26-4E3D-8882-278531B51A47}">
  <dimension ref="B1:S38"/>
  <sheetViews>
    <sheetView showGridLines="0" topLeftCell="A2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5" width="7.33203125" bestFit="1" customWidth="1"/>
    <col min="16" max="19" width="8.16406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s">
        <v>187</v>
      </c>
      <c r="J1" s="30"/>
    </row>
    <row r="21" spans="2:19" ht="27" x14ac:dyDescent="0.35">
      <c r="B21" s="55" t="s">
        <v>188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s">
        <v>209</v>
      </c>
      <c r="S23" s="65"/>
    </row>
    <row r="24" spans="2:19" ht="19.5" customHeight="1" x14ac:dyDescent="0.2">
      <c r="M24" s="66" t="s">
        <v>156</v>
      </c>
      <c r="N24" s="56" t="s">
        <v>157</v>
      </c>
      <c r="O24" s="57" t="s">
        <v>158</v>
      </c>
      <c r="P24" s="58" t="s">
        <v>159</v>
      </c>
      <c r="Q24" s="59" t="s">
        <v>160</v>
      </c>
      <c r="R24" s="60" t="s">
        <v>161</v>
      </c>
      <c r="S24" s="67" t="s">
        <v>162</v>
      </c>
    </row>
    <row r="25" spans="2:19" ht="19.5" customHeight="1" x14ac:dyDescent="0.2">
      <c r="M25" s="68" t="s">
        <v>163</v>
      </c>
      <c r="N25" s="39"/>
      <c r="O25" s="40">
        <v>0.16279069767441862</v>
      </c>
      <c r="P25" s="41">
        <v>0.11363636363636363</v>
      </c>
      <c r="Q25" s="42">
        <v>2.3809523809523808E-2</v>
      </c>
      <c r="R25" s="43">
        <v>0.12195121951219512</v>
      </c>
      <c r="S25" s="69">
        <v>5.7142857142857141E-2</v>
      </c>
    </row>
    <row r="26" spans="2:19" ht="19.5" customHeight="1" x14ac:dyDescent="0.2">
      <c r="M26" s="70" t="s">
        <v>164</v>
      </c>
      <c r="N26" s="44"/>
      <c r="O26" s="45">
        <v>0.18604651162790697</v>
      </c>
      <c r="P26" s="46">
        <v>0.13636363636363635</v>
      </c>
      <c r="Q26" s="47">
        <v>2.3809523809523808E-2</v>
      </c>
      <c r="R26" s="48">
        <v>0.12195121951219512</v>
      </c>
      <c r="S26" s="71">
        <v>8.5714285714285715E-2</v>
      </c>
    </row>
    <row r="27" spans="2:19" ht="19.5" customHeight="1" x14ac:dyDescent="0.2">
      <c r="M27" s="70" t="s">
        <v>165</v>
      </c>
      <c r="N27" s="44">
        <v>0.1515</v>
      </c>
      <c r="O27" s="49">
        <v>0.23255813953488372</v>
      </c>
      <c r="P27" s="50">
        <v>0.15909090909090909</v>
      </c>
      <c r="Q27" s="51">
        <v>7.1428571428571425E-2</v>
      </c>
      <c r="R27" s="52">
        <v>0.24390243902439024</v>
      </c>
      <c r="S27" s="72">
        <v>8.5714285714285715E-2</v>
      </c>
    </row>
    <row r="28" spans="2:19" ht="19.5" customHeight="1" x14ac:dyDescent="0.2">
      <c r="M28" s="70" t="s">
        <v>166</v>
      </c>
      <c r="N28" s="44">
        <v>0.18179999999999999</v>
      </c>
      <c r="O28" s="45">
        <v>0.23255813953488372</v>
      </c>
      <c r="P28" s="46">
        <v>0.27272727272727271</v>
      </c>
      <c r="Q28" s="47">
        <v>7.1428571428571425E-2</v>
      </c>
      <c r="R28" s="48">
        <v>0.29268292682926828</v>
      </c>
      <c r="S28" s="71">
        <v>8.5714285714285715E-2</v>
      </c>
    </row>
    <row r="29" spans="2:19" ht="19.5" customHeight="1" x14ac:dyDescent="0.2">
      <c r="M29" s="70" t="s">
        <v>167</v>
      </c>
      <c r="N29" s="44">
        <v>0.24640000000000001</v>
      </c>
      <c r="O29" s="49">
        <v>0.2558139534883721</v>
      </c>
      <c r="P29" s="50">
        <v>0.31818181818181818</v>
      </c>
      <c r="Q29" s="51">
        <v>0.14285714285714285</v>
      </c>
      <c r="R29" s="52">
        <v>0.29268292682926828</v>
      </c>
      <c r="S29" s="72">
        <v>8.5714285714285715E-2</v>
      </c>
    </row>
    <row r="30" spans="2:19" ht="19.5" customHeight="1" x14ac:dyDescent="0.2">
      <c r="M30" s="70" t="s">
        <v>168</v>
      </c>
      <c r="N30" s="53">
        <v>0.31879999999999997</v>
      </c>
      <c r="O30" s="45">
        <v>0.46511627906976744</v>
      </c>
      <c r="P30" s="46">
        <v>0.31818181818181818</v>
      </c>
      <c r="Q30" s="47">
        <v>0.14285714285714285</v>
      </c>
      <c r="R30" s="48">
        <v>0.31707317073170732</v>
      </c>
      <c r="S30" s="71">
        <v>0.22857142857142856</v>
      </c>
    </row>
    <row r="31" spans="2:19" ht="19.5" customHeight="1" x14ac:dyDescent="0.2">
      <c r="M31" s="70" t="s">
        <v>169</v>
      </c>
      <c r="N31" s="44">
        <v>0.34329999999999999</v>
      </c>
      <c r="O31" s="49">
        <v>0.51162790697674421</v>
      </c>
      <c r="P31" s="50">
        <v>0.31818181818181818</v>
      </c>
      <c r="Q31" s="51">
        <v>0.19047619047619047</v>
      </c>
      <c r="R31" s="52">
        <v>0.3902439024390244</v>
      </c>
      <c r="S31" s="72">
        <v>0.25714285714285712</v>
      </c>
    </row>
    <row r="32" spans="2:19" ht="19.5" customHeight="1" x14ac:dyDescent="0.2">
      <c r="M32" s="70" t="s">
        <v>170</v>
      </c>
      <c r="N32" s="44">
        <v>0.37309999999999999</v>
      </c>
      <c r="O32" s="45">
        <v>0.58139534883720934</v>
      </c>
      <c r="P32" s="46">
        <v>0.36363636363636365</v>
      </c>
      <c r="Q32" s="47">
        <v>0.19047619047619047</v>
      </c>
      <c r="R32" s="48">
        <v>0.43902439024390244</v>
      </c>
      <c r="S32" s="71">
        <v>0.2857142857142857</v>
      </c>
    </row>
    <row r="33" spans="13:19" ht="19.5" customHeight="1" x14ac:dyDescent="0.2">
      <c r="M33" s="70" t="s">
        <v>171</v>
      </c>
      <c r="N33" s="44">
        <v>0.51559999999999995</v>
      </c>
      <c r="O33" s="49">
        <v>0.58139534883720934</v>
      </c>
      <c r="P33" s="50">
        <v>0.38636363636363635</v>
      </c>
      <c r="Q33" s="51">
        <v>0.19047619047619047</v>
      </c>
      <c r="R33" s="52">
        <v>0.48780487804878048</v>
      </c>
      <c r="S33" s="72">
        <v>0.54285714285714282</v>
      </c>
    </row>
    <row r="34" spans="13:19" ht="19.5" customHeight="1" x14ac:dyDescent="0.2">
      <c r="M34" s="70" t="s">
        <v>172</v>
      </c>
      <c r="N34" s="89">
        <v>0.629</v>
      </c>
      <c r="O34" s="45">
        <v>0.58139534883720934</v>
      </c>
      <c r="P34" s="46">
        <v>0.43181818181818182</v>
      </c>
      <c r="Q34" s="47">
        <v>1</v>
      </c>
      <c r="R34" s="48">
        <v>0.48780487804878048</v>
      </c>
      <c r="S34" s="71">
        <v>0.5714285714285714</v>
      </c>
    </row>
    <row r="35" spans="13:19" ht="19.5" customHeight="1" x14ac:dyDescent="0.2">
      <c r="M35" s="70" t="s">
        <v>173</v>
      </c>
      <c r="N35" s="92">
        <v>0.68849999999999989</v>
      </c>
      <c r="O35" s="49">
        <v>0.60465116279069764</v>
      </c>
      <c r="P35" s="50">
        <v>0.47727272727272729</v>
      </c>
      <c r="Q35" s="51">
        <v>1</v>
      </c>
      <c r="R35" s="52">
        <v>0.65853658536585369</v>
      </c>
      <c r="S35" s="72">
        <v>0.88571428571428568</v>
      </c>
    </row>
    <row r="36" spans="13:19" ht="19.5" customHeight="1" x14ac:dyDescent="0.2">
      <c r="M36" s="70" t="s">
        <v>174</v>
      </c>
      <c r="N36" s="44"/>
      <c r="O36" s="45">
        <v>0.62790697674418605</v>
      </c>
      <c r="P36" s="46">
        <v>0.95454545454545459</v>
      </c>
      <c r="Q36" s="47">
        <v>1</v>
      </c>
      <c r="R36" s="48">
        <v>1</v>
      </c>
      <c r="S36" s="71">
        <v>0.88571428571428568</v>
      </c>
    </row>
    <row r="37" spans="13:19" ht="19.5" customHeight="1" x14ac:dyDescent="0.2">
      <c r="M37" s="70" t="s">
        <v>175</v>
      </c>
      <c r="N37" s="44"/>
      <c r="O37" s="49">
        <v>0.97674418604651159</v>
      </c>
      <c r="P37" s="50">
        <v>0.95454545454545459</v>
      </c>
      <c r="Q37" s="51">
        <v>1</v>
      </c>
      <c r="R37" s="52">
        <v>1</v>
      </c>
      <c r="S37" s="72">
        <v>1</v>
      </c>
    </row>
    <row r="38" spans="13:19" ht="19.5" customHeight="1" x14ac:dyDescent="0.2">
      <c r="M38" s="70" t="s">
        <v>176</v>
      </c>
      <c r="N38" s="44"/>
      <c r="O38" s="45">
        <v>0.97674418604651159</v>
      </c>
      <c r="P38" s="46">
        <v>0.95454545454545459</v>
      </c>
      <c r="Q38" s="47">
        <v>1</v>
      </c>
      <c r="R38" s="48">
        <v>1</v>
      </c>
      <c r="S38" s="71">
        <v>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E148B-197F-4E3C-9444-5AB68FAE4637}">
  <dimension ref="B1:S38"/>
  <sheetViews>
    <sheetView showGridLines="0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5" width="7.33203125" bestFit="1" customWidth="1"/>
    <col min="16" max="19" width="8.16406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s">
        <v>189</v>
      </c>
      <c r="J1" s="30"/>
    </row>
    <row r="21" spans="2:19" ht="27" x14ac:dyDescent="0.35">
      <c r="B21" s="55" t="s">
        <v>190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s">
        <v>209</v>
      </c>
      <c r="S23" s="65"/>
    </row>
    <row r="24" spans="2:19" ht="19.5" customHeight="1" x14ac:dyDescent="0.2">
      <c r="M24" s="66" t="s">
        <v>156</v>
      </c>
      <c r="N24" s="56" t="s">
        <v>157</v>
      </c>
      <c r="O24" s="57" t="s">
        <v>158</v>
      </c>
      <c r="P24" s="58" t="s">
        <v>159</v>
      </c>
      <c r="Q24" s="59" t="s">
        <v>160</v>
      </c>
      <c r="R24" s="60" t="s">
        <v>161</v>
      </c>
      <c r="S24" s="67" t="s">
        <v>162</v>
      </c>
    </row>
    <row r="25" spans="2:19" ht="19.5" customHeight="1" x14ac:dyDescent="0.2">
      <c r="M25" s="68" t="s">
        <v>163</v>
      </c>
      <c r="N25" s="39"/>
      <c r="O25" s="40">
        <v>0.04</v>
      </c>
      <c r="P25" s="41">
        <v>7.0588235294117646E-2</v>
      </c>
      <c r="Q25" s="42">
        <v>6.8181818181818177E-2</v>
      </c>
      <c r="R25" s="43">
        <v>2.564102564102564E-2</v>
      </c>
      <c r="S25" s="69">
        <v>6.1224489795918366E-2</v>
      </c>
    </row>
    <row r="26" spans="2:19" ht="19.5" customHeight="1" x14ac:dyDescent="0.2">
      <c r="M26" s="70" t="s">
        <v>164</v>
      </c>
      <c r="N26" s="44"/>
      <c r="O26" s="45">
        <v>0.06</v>
      </c>
      <c r="P26" s="46">
        <v>0.11764705882352941</v>
      </c>
      <c r="Q26" s="47">
        <v>0.13636363636363635</v>
      </c>
      <c r="R26" s="48">
        <v>5.128205128205128E-2</v>
      </c>
      <c r="S26" s="71">
        <v>0.10204081632653061</v>
      </c>
    </row>
    <row r="27" spans="2:19" ht="19.5" customHeight="1" x14ac:dyDescent="0.2">
      <c r="M27" s="70" t="s">
        <v>165</v>
      </c>
      <c r="N27" s="44">
        <v>0.22639999999999999</v>
      </c>
      <c r="O27" s="49">
        <v>0.1</v>
      </c>
      <c r="P27" s="50">
        <v>0.17647058823529413</v>
      </c>
      <c r="Q27" s="51">
        <v>0.18181818181818182</v>
      </c>
      <c r="R27" s="52">
        <v>0.11538461538461539</v>
      </c>
      <c r="S27" s="72">
        <v>0.22448979591836735</v>
      </c>
    </row>
    <row r="28" spans="2:19" ht="19.5" customHeight="1" x14ac:dyDescent="0.2">
      <c r="M28" s="70" t="s">
        <v>166</v>
      </c>
      <c r="N28" s="44">
        <v>0.30070000000000002</v>
      </c>
      <c r="O28" s="45">
        <v>0.12</v>
      </c>
      <c r="P28" s="46">
        <v>0.18823529411764706</v>
      </c>
      <c r="Q28" s="47">
        <v>0.26136363636363635</v>
      </c>
      <c r="R28" s="48">
        <v>0.24358974358974358</v>
      </c>
      <c r="S28" s="71">
        <v>0.40816326530612246</v>
      </c>
    </row>
    <row r="29" spans="2:19" ht="19.5" customHeight="1" x14ac:dyDescent="0.2">
      <c r="M29" s="70" t="s">
        <v>167</v>
      </c>
      <c r="N29" s="44">
        <v>0.33800000000000002</v>
      </c>
      <c r="O29" s="49">
        <v>0.17</v>
      </c>
      <c r="P29" s="50">
        <v>0.22352941176470589</v>
      </c>
      <c r="Q29" s="51">
        <v>0.28409090909090912</v>
      </c>
      <c r="R29" s="52">
        <v>0.29487179487179488</v>
      </c>
      <c r="S29" s="72">
        <v>0.42857142857142855</v>
      </c>
    </row>
    <row r="30" spans="2:19" ht="19.5" customHeight="1" x14ac:dyDescent="0.2">
      <c r="M30" s="70" t="s">
        <v>168</v>
      </c>
      <c r="N30" s="53">
        <v>0.4234</v>
      </c>
      <c r="O30" s="45">
        <v>0.27</v>
      </c>
      <c r="P30" s="46">
        <v>0.31764705882352939</v>
      </c>
      <c r="Q30" s="47">
        <v>0.29545454545454547</v>
      </c>
      <c r="R30" s="48">
        <v>0.38461538461538464</v>
      </c>
      <c r="S30" s="71">
        <v>0.51020408163265307</v>
      </c>
    </row>
    <row r="31" spans="2:19" ht="19.5" customHeight="1" x14ac:dyDescent="0.2">
      <c r="M31" s="70" t="s">
        <v>169</v>
      </c>
      <c r="N31" s="44">
        <v>0.53910000000000002</v>
      </c>
      <c r="O31" s="49">
        <v>0.32</v>
      </c>
      <c r="P31" s="50">
        <v>0.41176470588235292</v>
      </c>
      <c r="Q31" s="51">
        <v>0.31818181818181818</v>
      </c>
      <c r="R31" s="52">
        <v>0.41025641025641024</v>
      </c>
      <c r="S31" s="72">
        <v>0.53061224489795922</v>
      </c>
    </row>
    <row r="32" spans="2:19" ht="19.5" customHeight="1" x14ac:dyDescent="0.2">
      <c r="M32" s="70" t="s">
        <v>170</v>
      </c>
      <c r="N32" s="44">
        <v>0.63029999999999997</v>
      </c>
      <c r="O32" s="45">
        <v>0.44</v>
      </c>
      <c r="P32" s="46">
        <v>0.45882352941176469</v>
      </c>
      <c r="Q32" s="47">
        <v>0.39772727272727271</v>
      </c>
      <c r="R32" s="48">
        <v>0.47435897435897434</v>
      </c>
      <c r="S32" s="71">
        <v>0.59183673469387754</v>
      </c>
    </row>
    <row r="33" spans="13:19" ht="19.5" customHeight="1" x14ac:dyDescent="0.2">
      <c r="M33" s="70" t="s">
        <v>171</v>
      </c>
      <c r="N33" s="44">
        <v>0.69169999999999998</v>
      </c>
      <c r="O33" s="49">
        <v>0.55000000000000004</v>
      </c>
      <c r="P33" s="50">
        <v>0.49411764705882355</v>
      </c>
      <c r="Q33" s="51">
        <v>0.43181818181818182</v>
      </c>
      <c r="R33" s="52">
        <v>0.5641025641025641</v>
      </c>
      <c r="S33" s="72">
        <v>0.65306122448979587</v>
      </c>
    </row>
    <row r="34" spans="13:19" ht="19.5" customHeight="1" x14ac:dyDescent="0.2">
      <c r="M34" s="70" t="s">
        <v>172</v>
      </c>
      <c r="N34" s="89">
        <v>0.79819999999999991</v>
      </c>
      <c r="O34" s="45">
        <v>0.77</v>
      </c>
      <c r="P34" s="46">
        <v>0.50588235294117645</v>
      </c>
      <c r="Q34" s="47">
        <v>0.61363636363636365</v>
      </c>
      <c r="R34" s="48">
        <v>0.61538461538461542</v>
      </c>
      <c r="S34" s="71">
        <v>0.75510204081632648</v>
      </c>
    </row>
    <row r="35" spans="13:19" ht="19.5" customHeight="1" x14ac:dyDescent="0.2">
      <c r="M35" s="70" t="s">
        <v>173</v>
      </c>
      <c r="N35" s="92">
        <v>0.84109999999999996</v>
      </c>
      <c r="O35" s="49">
        <v>0.84</v>
      </c>
      <c r="P35" s="50">
        <v>0.52941176470588236</v>
      </c>
      <c r="Q35" s="51">
        <v>0.75</v>
      </c>
      <c r="R35" s="52">
        <v>0.69230769230769229</v>
      </c>
      <c r="S35" s="72">
        <v>0.77551020408163263</v>
      </c>
    </row>
    <row r="36" spans="13:19" ht="19.5" customHeight="1" x14ac:dyDescent="0.2">
      <c r="M36" s="70" t="s">
        <v>174</v>
      </c>
      <c r="N36" s="44"/>
      <c r="O36" s="45">
        <v>0.88</v>
      </c>
      <c r="P36" s="46">
        <v>0.70588235294117652</v>
      </c>
      <c r="Q36" s="47">
        <v>0.89772727272727271</v>
      </c>
      <c r="R36" s="48">
        <v>0.91025641025641024</v>
      </c>
      <c r="S36" s="71">
        <v>0.89795918367346939</v>
      </c>
    </row>
    <row r="37" spans="13:19" ht="19.5" customHeight="1" x14ac:dyDescent="0.2">
      <c r="M37" s="70" t="s">
        <v>175</v>
      </c>
      <c r="N37" s="44"/>
      <c r="O37" s="49">
        <v>0.91</v>
      </c>
      <c r="P37" s="50">
        <v>0.74117647058823533</v>
      </c>
      <c r="Q37" s="51">
        <v>0.90909090909090906</v>
      </c>
      <c r="R37" s="52">
        <v>0.92307692307692313</v>
      </c>
      <c r="S37" s="72">
        <v>1</v>
      </c>
    </row>
    <row r="38" spans="13:19" ht="19.5" customHeight="1" x14ac:dyDescent="0.2">
      <c r="M38" s="70" t="s">
        <v>176</v>
      </c>
      <c r="N38" s="44"/>
      <c r="O38" s="45">
        <v>0.92</v>
      </c>
      <c r="P38" s="46">
        <v>0.74117647058823533</v>
      </c>
      <c r="Q38" s="47">
        <v>0.90909090909090906</v>
      </c>
      <c r="R38" s="48">
        <v>0.92307692307692313</v>
      </c>
      <c r="S38" s="71">
        <v>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599E5-F195-47B0-B609-71CA4E07CF34}">
  <dimension ref="B1:S38"/>
  <sheetViews>
    <sheetView showGridLines="0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4" width="7.33203125" bestFit="1" customWidth="1"/>
    <col min="15" max="19" width="8.16406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s">
        <v>191</v>
      </c>
      <c r="J1" s="30"/>
    </row>
    <row r="21" spans="2:19" ht="27" x14ac:dyDescent="0.35">
      <c r="B21" s="55" t="s">
        <v>192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s">
        <v>209</v>
      </c>
      <c r="S23" s="65"/>
    </row>
    <row r="24" spans="2:19" ht="19.5" customHeight="1" x14ac:dyDescent="0.2">
      <c r="M24" s="66" t="s">
        <v>156</v>
      </c>
      <c r="N24" s="56" t="s">
        <v>157</v>
      </c>
      <c r="O24" s="57" t="s">
        <v>158</v>
      </c>
      <c r="P24" s="58" t="s">
        <v>159</v>
      </c>
      <c r="Q24" s="59" t="s">
        <v>160</v>
      </c>
      <c r="R24" s="60" t="s">
        <v>161</v>
      </c>
      <c r="S24" s="67" t="s">
        <v>162</v>
      </c>
    </row>
    <row r="25" spans="2:19" ht="19.5" customHeight="1" x14ac:dyDescent="0.2">
      <c r="M25" s="68" t="s">
        <v>163</v>
      </c>
      <c r="N25" s="39"/>
      <c r="O25" s="40">
        <v>0.1111111111111111</v>
      </c>
      <c r="P25" s="41">
        <v>0.23809523809523808</v>
      </c>
      <c r="Q25" s="42">
        <v>0.16666666666666666</v>
      </c>
      <c r="R25" s="43">
        <v>0.21052631578947367</v>
      </c>
      <c r="S25" s="69">
        <v>0.16666666666666666</v>
      </c>
    </row>
    <row r="26" spans="2:19" ht="19.5" customHeight="1" x14ac:dyDescent="0.2">
      <c r="M26" s="70" t="s">
        <v>164</v>
      </c>
      <c r="N26" s="44"/>
      <c r="O26" s="45">
        <v>0.16666666666666666</v>
      </c>
      <c r="P26" s="46">
        <v>0.23809523809523808</v>
      </c>
      <c r="Q26" s="47">
        <v>0.20833333333333334</v>
      </c>
      <c r="R26" s="48">
        <v>0.21052631578947367</v>
      </c>
      <c r="S26" s="71">
        <v>0.16666666666666666</v>
      </c>
    </row>
    <row r="27" spans="2:19" ht="19.5" customHeight="1" x14ac:dyDescent="0.2">
      <c r="M27" s="70" t="s">
        <v>165</v>
      </c>
      <c r="N27" s="44">
        <v>0.2319</v>
      </c>
      <c r="O27" s="49">
        <v>0.16666666666666666</v>
      </c>
      <c r="P27" s="50">
        <v>0.2857142857142857</v>
      </c>
      <c r="Q27" s="51">
        <v>0.20833333333333334</v>
      </c>
      <c r="R27" s="52">
        <v>0.21052631578947367</v>
      </c>
      <c r="S27" s="72">
        <v>0.16666666666666666</v>
      </c>
    </row>
    <row r="28" spans="2:19" ht="19.5" customHeight="1" x14ac:dyDescent="0.2">
      <c r="M28" s="70" t="s">
        <v>166</v>
      </c>
      <c r="N28" s="44">
        <v>0.2727</v>
      </c>
      <c r="O28" s="45">
        <v>0.16666666666666666</v>
      </c>
      <c r="P28" s="46">
        <v>0.33333333333333331</v>
      </c>
      <c r="Q28" s="47">
        <v>0.20833333333333334</v>
      </c>
      <c r="R28" s="48">
        <v>0.26315789473684209</v>
      </c>
      <c r="S28" s="71">
        <v>0.16666666666666666</v>
      </c>
    </row>
    <row r="29" spans="2:19" ht="19.5" customHeight="1" x14ac:dyDescent="0.2">
      <c r="M29" s="70" t="s">
        <v>167</v>
      </c>
      <c r="N29" s="44">
        <v>0.28789999999999999</v>
      </c>
      <c r="O29" s="49">
        <v>0.22222222222222221</v>
      </c>
      <c r="P29" s="50">
        <v>0.33333333333333331</v>
      </c>
      <c r="Q29" s="51">
        <v>0.20833333333333334</v>
      </c>
      <c r="R29" s="52">
        <v>0.47368421052631576</v>
      </c>
      <c r="S29" s="72">
        <v>0.16666666666666666</v>
      </c>
    </row>
    <row r="30" spans="2:19" ht="19.5" customHeight="1" x14ac:dyDescent="0.2">
      <c r="M30" s="70" t="s">
        <v>168</v>
      </c>
      <c r="N30" s="53">
        <v>0.36509999999999998</v>
      </c>
      <c r="O30" s="45">
        <v>0.3888888888888889</v>
      </c>
      <c r="P30" s="46">
        <v>0.52380952380952384</v>
      </c>
      <c r="Q30" s="47">
        <v>0.25</v>
      </c>
      <c r="R30" s="48">
        <v>0.52631578947368418</v>
      </c>
      <c r="S30" s="71">
        <v>0.16666666666666666</v>
      </c>
    </row>
    <row r="31" spans="2:19" ht="19.5" customHeight="1" x14ac:dyDescent="0.2">
      <c r="M31" s="70" t="s">
        <v>169</v>
      </c>
      <c r="N31" s="44">
        <v>0.36065573770491804</v>
      </c>
      <c r="O31" s="49">
        <v>0.3888888888888889</v>
      </c>
      <c r="P31" s="50">
        <v>0.61904761904761907</v>
      </c>
      <c r="Q31" s="51">
        <v>0.29166666666666669</v>
      </c>
      <c r="R31" s="52">
        <v>0.73684210526315785</v>
      </c>
      <c r="S31" s="72">
        <v>0.66666666666666663</v>
      </c>
    </row>
    <row r="32" spans="2:19" ht="19.5" customHeight="1" x14ac:dyDescent="0.2">
      <c r="M32" s="70" t="s">
        <v>170</v>
      </c>
      <c r="N32" s="44">
        <v>0.44230000000000003</v>
      </c>
      <c r="O32" s="45">
        <v>0.61111111111111116</v>
      </c>
      <c r="P32" s="46">
        <v>0.7142857142857143</v>
      </c>
      <c r="Q32" s="47">
        <v>0.33333333333333331</v>
      </c>
      <c r="R32" s="48">
        <v>0.84210526315789469</v>
      </c>
      <c r="S32" s="71">
        <v>1</v>
      </c>
    </row>
    <row r="33" spans="13:19" ht="19.5" customHeight="1" x14ac:dyDescent="0.2">
      <c r="M33" s="70" t="s">
        <v>171</v>
      </c>
      <c r="N33" s="44">
        <v>0.52270000000000005</v>
      </c>
      <c r="O33" s="49">
        <v>0.61111111111111116</v>
      </c>
      <c r="P33" s="50">
        <v>0.80952380952380953</v>
      </c>
      <c r="Q33" s="51">
        <v>0.625</v>
      </c>
      <c r="R33" s="52">
        <v>1</v>
      </c>
      <c r="S33" s="72">
        <v>1</v>
      </c>
    </row>
    <row r="34" spans="13:19" ht="19.5" customHeight="1" x14ac:dyDescent="0.2">
      <c r="M34" s="70" t="s">
        <v>172</v>
      </c>
      <c r="N34" s="89">
        <v>0.64290000000000003</v>
      </c>
      <c r="O34" s="45">
        <v>0.61111111111111116</v>
      </c>
      <c r="P34" s="46">
        <v>0.95238095238095233</v>
      </c>
      <c r="Q34" s="47">
        <v>0.79166666666666663</v>
      </c>
      <c r="R34" s="48">
        <v>1</v>
      </c>
      <c r="S34" s="71">
        <v>1</v>
      </c>
    </row>
    <row r="35" spans="13:19" ht="19.5" customHeight="1" x14ac:dyDescent="0.2">
      <c r="M35" s="70" t="s">
        <v>173</v>
      </c>
      <c r="N35" s="92">
        <v>0.7</v>
      </c>
      <c r="O35" s="49">
        <v>0.61111111111111116</v>
      </c>
      <c r="P35" s="50">
        <v>1</v>
      </c>
      <c r="Q35" s="51">
        <v>0.79166666666666663</v>
      </c>
      <c r="R35" s="52">
        <v>1</v>
      </c>
      <c r="S35" s="72">
        <v>1</v>
      </c>
    </row>
    <row r="36" spans="13:19" ht="19.5" customHeight="1" x14ac:dyDescent="0.2">
      <c r="M36" s="70" t="s">
        <v>174</v>
      </c>
      <c r="N36" s="44"/>
      <c r="O36" s="45">
        <v>1</v>
      </c>
      <c r="P36" s="46">
        <v>1</v>
      </c>
      <c r="Q36" s="47">
        <v>0.91666666666666663</v>
      </c>
      <c r="R36" s="48">
        <v>1</v>
      </c>
      <c r="S36" s="71">
        <v>1</v>
      </c>
    </row>
    <row r="37" spans="13:19" ht="19.5" customHeight="1" x14ac:dyDescent="0.2">
      <c r="M37" s="70" t="s">
        <v>175</v>
      </c>
      <c r="N37" s="44"/>
      <c r="O37" s="49">
        <v>1</v>
      </c>
      <c r="P37" s="50">
        <v>1</v>
      </c>
      <c r="Q37" s="51">
        <v>0.91666666666666663</v>
      </c>
      <c r="R37" s="52">
        <v>1</v>
      </c>
      <c r="S37" s="72">
        <v>1</v>
      </c>
    </row>
    <row r="38" spans="13:19" ht="19.5" customHeight="1" x14ac:dyDescent="0.2">
      <c r="M38" s="70" t="s">
        <v>176</v>
      </c>
      <c r="N38" s="44"/>
      <c r="O38" s="45">
        <v>1</v>
      </c>
      <c r="P38" s="46">
        <v>1</v>
      </c>
      <c r="Q38" s="47">
        <v>0.95833333333333337</v>
      </c>
      <c r="R38" s="48">
        <v>1</v>
      </c>
      <c r="S38" s="71">
        <v>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5EBF1-D646-45C2-BA7E-ED3EC0A03692}">
  <dimension ref="B1:S38"/>
  <sheetViews>
    <sheetView showGridLines="0" topLeftCell="A3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4" width="7.33203125" bestFit="1" customWidth="1"/>
    <col min="15" max="16" width="8.1640625" bestFit="1" customWidth="1"/>
    <col min="17" max="17" width="8.6640625" bestFit="1" customWidth="1"/>
    <col min="18" max="19" width="8.16406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s">
        <v>193</v>
      </c>
      <c r="J1" s="30"/>
    </row>
    <row r="21" spans="2:19" ht="27" x14ac:dyDescent="0.35">
      <c r="B21" s="55" t="s">
        <v>194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s">
        <v>209</v>
      </c>
      <c r="S23" s="65"/>
    </row>
    <row r="24" spans="2:19" ht="19.5" customHeight="1" x14ac:dyDescent="0.2">
      <c r="M24" s="66" t="s">
        <v>156</v>
      </c>
      <c r="N24" s="56" t="s">
        <v>157</v>
      </c>
      <c r="O24" s="57" t="s">
        <v>158</v>
      </c>
      <c r="P24" s="58" t="s">
        <v>159</v>
      </c>
      <c r="Q24" s="59" t="s">
        <v>160</v>
      </c>
      <c r="R24" s="60" t="s">
        <v>161</v>
      </c>
      <c r="S24" s="67" t="s">
        <v>162</v>
      </c>
    </row>
    <row r="25" spans="2:19" ht="19.5" customHeight="1" x14ac:dyDescent="0.2">
      <c r="M25" s="68" t="s">
        <v>163</v>
      </c>
      <c r="N25" s="39"/>
      <c r="O25" s="40">
        <v>0.10476190476190476</v>
      </c>
      <c r="P25" s="41">
        <v>0.16842105263157894</v>
      </c>
      <c r="Q25" s="42">
        <v>7.407407407407407E-2</v>
      </c>
      <c r="R25" s="43">
        <v>6.8965517241379309E-2</v>
      </c>
      <c r="S25" s="69">
        <v>5.2083333333333336E-2</v>
      </c>
    </row>
    <row r="26" spans="2:19" ht="19.5" customHeight="1" x14ac:dyDescent="0.2">
      <c r="M26" s="70" t="s">
        <v>164</v>
      </c>
      <c r="N26" s="44"/>
      <c r="O26" s="45">
        <v>0.13333333333333333</v>
      </c>
      <c r="P26" s="46">
        <v>0.17894736842105263</v>
      </c>
      <c r="Q26" s="47">
        <v>9.8765432098765427E-2</v>
      </c>
      <c r="R26" s="48">
        <v>0.12643678160919541</v>
      </c>
      <c r="S26" s="71">
        <v>8.3333333333333329E-2</v>
      </c>
    </row>
    <row r="27" spans="2:19" ht="19.5" customHeight="1" x14ac:dyDescent="0.2">
      <c r="M27" s="70" t="s">
        <v>165</v>
      </c>
      <c r="N27" s="44">
        <v>0.16109999999999999</v>
      </c>
      <c r="O27" s="49">
        <v>0.14285714285714285</v>
      </c>
      <c r="P27" s="50">
        <v>0.26315789473684209</v>
      </c>
      <c r="Q27" s="51">
        <v>0.1111111111111111</v>
      </c>
      <c r="R27" s="52">
        <v>0.17241379310344829</v>
      </c>
      <c r="S27" s="72">
        <v>0.125</v>
      </c>
    </row>
    <row r="28" spans="2:19" ht="19.5" customHeight="1" x14ac:dyDescent="0.2">
      <c r="M28" s="70" t="s">
        <v>166</v>
      </c>
      <c r="N28" s="44">
        <v>0.18129999999999999</v>
      </c>
      <c r="O28" s="45">
        <v>0.19047619047619047</v>
      </c>
      <c r="P28" s="46">
        <v>0.27368421052631581</v>
      </c>
      <c r="Q28" s="47">
        <v>0.12345679012345678</v>
      </c>
      <c r="R28" s="48">
        <v>0.19540229885057472</v>
      </c>
      <c r="S28" s="71">
        <v>0.20833333333333334</v>
      </c>
    </row>
    <row r="29" spans="2:19" ht="19.5" customHeight="1" x14ac:dyDescent="0.2">
      <c r="M29" s="70" t="s">
        <v>167</v>
      </c>
      <c r="N29" s="44">
        <v>0.26779999999999998</v>
      </c>
      <c r="O29" s="49">
        <v>0.23809523809523808</v>
      </c>
      <c r="P29" s="50">
        <v>0.29473684210526313</v>
      </c>
      <c r="Q29" s="51">
        <v>0.19753086419753085</v>
      </c>
      <c r="R29" s="52">
        <v>0.22988505747126436</v>
      </c>
      <c r="S29" s="72">
        <v>0.22916666666666666</v>
      </c>
    </row>
    <row r="30" spans="2:19" ht="19.5" customHeight="1" x14ac:dyDescent="0.2">
      <c r="M30" s="70" t="s">
        <v>168</v>
      </c>
      <c r="N30" s="53">
        <v>0.33150000000000002</v>
      </c>
      <c r="O30" s="45">
        <v>0.3619047619047619</v>
      </c>
      <c r="P30" s="46">
        <v>0.41052631578947368</v>
      </c>
      <c r="Q30" s="47">
        <v>0.19753086419753085</v>
      </c>
      <c r="R30" s="48">
        <v>0.27586206896551724</v>
      </c>
      <c r="S30" s="71">
        <v>0.29166666666666669</v>
      </c>
    </row>
    <row r="31" spans="2:19" ht="19.5" customHeight="1" x14ac:dyDescent="0.2">
      <c r="M31" s="70" t="s">
        <v>169</v>
      </c>
      <c r="N31" s="44">
        <v>0.44309999999999999</v>
      </c>
      <c r="O31" s="49">
        <v>0.47619047619047616</v>
      </c>
      <c r="P31" s="50">
        <v>0.49473684210526314</v>
      </c>
      <c r="Q31" s="51">
        <v>0.27160493827160492</v>
      </c>
      <c r="R31" s="52">
        <v>0.42528735632183906</v>
      </c>
      <c r="S31" s="72">
        <v>0.36458333333333331</v>
      </c>
    </row>
    <row r="32" spans="2:19" ht="19.5" customHeight="1" x14ac:dyDescent="0.2">
      <c r="M32" s="70" t="s">
        <v>170</v>
      </c>
      <c r="N32" s="44">
        <v>0.60140000000000005</v>
      </c>
      <c r="O32" s="45">
        <v>0.52380952380952384</v>
      </c>
      <c r="P32" s="46">
        <v>0.49473684210526314</v>
      </c>
      <c r="Q32" s="47">
        <v>0.33333333333333331</v>
      </c>
      <c r="R32" s="48">
        <v>0.57471264367816088</v>
      </c>
      <c r="S32" s="71">
        <v>0.5625</v>
      </c>
    </row>
    <row r="33" spans="13:19" ht="19.5" customHeight="1" x14ac:dyDescent="0.2">
      <c r="M33" s="70" t="s">
        <v>171</v>
      </c>
      <c r="N33" s="44">
        <v>0.7258</v>
      </c>
      <c r="O33" s="49">
        <v>0.59047619047619049</v>
      </c>
      <c r="P33" s="50">
        <v>0.57894736842105265</v>
      </c>
      <c r="Q33" s="51">
        <v>0.5679012345679012</v>
      </c>
      <c r="R33" s="52">
        <v>0.74712643678160917</v>
      </c>
      <c r="S33" s="72">
        <v>0.79166666666666663</v>
      </c>
    </row>
    <row r="34" spans="13:19" ht="19.5" customHeight="1" x14ac:dyDescent="0.2">
      <c r="M34" s="70" t="s">
        <v>172</v>
      </c>
      <c r="N34" s="89">
        <v>0.78150000000000008</v>
      </c>
      <c r="O34" s="45">
        <v>0.65714285714285714</v>
      </c>
      <c r="P34" s="46">
        <v>0.74736842105263157</v>
      </c>
      <c r="Q34" s="47">
        <v>0.7407407407407407</v>
      </c>
      <c r="R34" s="48">
        <v>0.87356321839080464</v>
      </c>
      <c r="S34" s="71">
        <v>0.85416666666666663</v>
      </c>
    </row>
    <row r="35" spans="13:19" ht="19.5" customHeight="1" x14ac:dyDescent="0.2">
      <c r="M35" s="70" t="s">
        <v>173</v>
      </c>
      <c r="N35" s="92">
        <v>0.82239999999999991</v>
      </c>
      <c r="O35" s="49">
        <v>0.72380952380952379</v>
      </c>
      <c r="P35" s="50">
        <v>0.86315789473684212</v>
      </c>
      <c r="Q35" s="51">
        <v>0.81481481481481477</v>
      </c>
      <c r="R35" s="52">
        <v>0.89655172413793105</v>
      </c>
      <c r="S35" s="72">
        <v>0.92708333333333337</v>
      </c>
    </row>
    <row r="36" spans="13:19" ht="19.5" customHeight="1" x14ac:dyDescent="0.2">
      <c r="M36" s="70" t="s">
        <v>174</v>
      </c>
      <c r="N36" s="44"/>
      <c r="O36" s="45">
        <v>0.89523809523809528</v>
      </c>
      <c r="P36" s="46">
        <v>0.9263157894736842</v>
      </c>
      <c r="Q36" s="47">
        <v>0.85185185185185186</v>
      </c>
      <c r="R36" s="48">
        <v>0.93103448275862066</v>
      </c>
      <c r="S36" s="71">
        <v>0.95833333333333337</v>
      </c>
    </row>
    <row r="37" spans="13:19" ht="19.5" customHeight="1" x14ac:dyDescent="0.2">
      <c r="M37" s="70" t="s">
        <v>175</v>
      </c>
      <c r="N37" s="44"/>
      <c r="O37" s="49">
        <v>0.92380952380952386</v>
      </c>
      <c r="P37" s="50">
        <v>0.93684210526315792</v>
      </c>
      <c r="Q37" s="51">
        <v>0.85185185185185186</v>
      </c>
      <c r="R37" s="52">
        <v>0.93103448275862066</v>
      </c>
      <c r="S37" s="72">
        <v>0.95833333333333337</v>
      </c>
    </row>
    <row r="38" spans="13:19" ht="19.5" customHeight="1" x14ac:dyDescent="0.2">
      <c r="M38" s="70" t="s">
        <v>176</v>
      </c>
      <c r="N38" s="44"/>
      <c r="O38" s="45">
        <v>0.97140000000000004</v>
      </c>
      <c r="P38" s="46">
        <v>0.98950000000000005</v>
      </c>
      <c r="Q38" s="47">
        <v>1</v>
      </c>
      <c r="R38" s="48">
        <v>0.98850000000000005</v>
      </c>
      <c r="S38" s="71">
        <v>0.98960000000000004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C5E01-F3F6-4C7E-BD01-15D3A6DD733A}">
  <dimension ref="B1:S38"/>
  <sheetViews>
    <sheetView showGridLines="0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4" width="7.33203125" bestFit="1" customWidth="1"/>
    <col min="15" max="19" width="8.16406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s">
        <v>195</v>
      </c>
      <c r="J1" s="30"/>
    </row>
    <row r="21" spans="2:19" ht="27" x14ac:dyDescent="0.35">
      <c r="B21" s="55" t="s">
        <v>196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s">
        <v>209</v>
      </c>
      <c r="S23" s="65"/>
    </row>
    <row r="24" spans="2:19" ht="19.5" customHeight="1" x14ac:dyDescent="0.2">
      <c r="M24" s="66" t="s">
        <v>156</v>
      </c>
      <c r="N24" s="56" t="s">
        <v>157</v>
      </c>
      <c r="O24" s="57" t="s">
        <v>158</v>
      </c>
      <c r="P24" s="58" t="s">
        <v>159</v>
      </c>
      <c r="Q24" s="59" t="s">
        <v>160</v>
      </c>
      <c r="R24" s="60" t="s">
        <v>161</v>
      </c>
      <c r="S24" s="67" t="s">
        <v>162</v>
      </c>
    </row>
    <row r="25" spans="2:19" ht="19.5" customHeight="1" x14ac:dyDescent="0.2">
      <c r="M25" s="68" t="s">
        <v>163</v>
      </c>
      <c r="N25" s="39"/>
      <c r="O25" s="40">
        <v>0.10476190476190476</v>
      </c>
      <c r="P25" s="41">
        <v>0.16842105263157894</v>
      </c>
      <c r="Q25" s="42">
        <v>7.407407407407407E-2</v>
      </c>
      <c r="R25" s="43">
        <v>6.8965517241379309E-2</v>
      </c>
      <c r="S25" s="69">
        <v>5.2083333333333336E-2</v>
      </c>
    </row>
    <row r="26" spans="2:19" ht="19.5" customHeight="1" x14ac:dyDescent="0.2">
      <c r="M26" s="70" t="s">
        <v>164</v>
      </c>
      <c r="N26" s="44"/>
      <c r="O26" s="45">
        <v>0.13333333333333333</v>
      </c>
      <c r="P26" s="46">
        <v>0.17894736842105263</v>
      </c>
      <c r="Q26" s="47">
        <v>9.8765432098765427E-2</v>
      </c>
      <c r="R26" s="48">
        <v>0.12643678160919541</v>
      </c>
      <c r="S26" s="71">
        <v>8.3333333333333329E-2</v>
      </c>
    </row>
    <row r="27" spans="2:19" ht="19.5" customHeight="1" x14ac:dyDescent="0.2">
      <c r="M27" s="70" t="s">
        <v>165</v>
      </c>
      <c r="N27" s="44">
        <v>0.16109999999999999</v>
      </c>
      <c r="O27" s="49">
        <v>0.14285714285714285</v>
      </c>
      <c r="P27" s="50">
        <v>0.26315789473684209</v>
      </c>
      <c r="Q27" s="51">
        <v>0.1111111111111111</v>
      </c>
      <c r="R27" s="52">
        <v>0.17241379310344829</v>
      </c>
      <c r="S27" s="72">
        <v>0.125</v>
      </c>
    </row>
    <row r="28" spans="2:19" ht="19.5" customHeight="1" x14ac:dyDescent="0.2">
      <c r="M28" s="70" t="s">
        <v>166</v>
      </c>
      <c r="N28" s="44">
        <v>0.18129999999999999</v>
      </c>
      <c r="O28" s="45">
        <v>0.19047619047619047</v>
      </c>
      <c r="P28" s="46">
        <v>0.27368421052631581</v>
      </c>
      <c r="Q28" s="47">
        <v>0.12345679012345678</v>
      </c>
      <c r="R28" s="48">
        <v>0.19540229885057472</v>
      </c>
      <c r="S28" s="71">
        <v>0.20833333333333334</v>
      </c>
    </row>
    <row r="29" spans="2:19" ht="19.5" customHeight="1" x14ac:dyDescent="0.2">
      <c r="M29" s="70" t="s">
        <v>167</v>
      </c>
      <c r="N29" s="44">
        <v>0.26779999999999998</v>
      </c>
      <c r="O29" s="49">
        <v>0.23809523809523808</v>
      </c>
      <c r="P29" s="50">
        <v>0.29473684210526313</v>
      </c>
      <c r="Q29" s="51">
        <v>0.19753086419753085</v>
      </c>
      <c r="R29" s="52">
        <v>0.22988505747126436</v>
      </c>
      <c r="S29" s="72">
        <v>0.22916666666666666</v>
      </c>
    </row>
    <row r="30" spans="2:19" ht="19.5" customHeight="1" x14ac:dyDescent="0.2">
      <c r="M30" s="70" t="s">
        <v>168</v>
      </c>
      <c r="N30" s="53">
        <v>0.38840000000000002</v>
      </c>
      <c r="O30" s="45">
        <v>0.3619047619047619</v>
      </c>
      <c r="P30" s="46">
        <v>0.41052631578947368</v>
      </c>
      <c r="Q30" s="47">
        <v>0.19753086419753085</v>
      </c>
      <c r="R30" s="48">
        <v>0.27586206896551724</v>
      </c>
      <c r="S30" s="71">
        <v>0.29166666666666669</v>
      </c>
    </row>
    <row r="31" spans="2:19" ht="19.5" customHeight="1" x14ac:dyDescent="0.2">
      <c r="M31" s="70" t="s">
        <v>169</v>
      </c>
      <c r="N31" s="44">
        <v>0.4138</v>
      </c>
      <c r="O31" s="49">
        <v>0.47619047619047616</v>
      </c>
      <c r="P31" s="50">
        <v>0.49473684210526314</v>
      </c>
      <c r="Q31" s="51">
        <v>0.27160493827160492</v>
      </c>
      <c r="R31" s="52">
        <v>0.42528735632183906</v>
      </c>
      <c r="S31" s="72">
        <v>0.36458333333333331</v>
      </c>
    </row>
    <row r="32" spans="2:19" ht="19.5" customHeight="1" x14ac:dyDescent="0.2">
      <c r="M32" s="70" t="s">
        <v>170</v>
      </c>
      <c r="N32" s="44">
        <v>0.43859999999999999</v>
      </c>
      <c r="O32" s="45">
        <v>0.52380952380952384</v>
      </c>
      <c r="P32" s="46">
        <v>0.49473684210526314</v>
      </c>
      <c r="Q32" s="47">
        <v>0.33333333333333331</v>
      </c>
      <c r="R32" s="48">
        <v>0.57471264367816088</v>
      </c>
      <c r="S32" s="71">
        <v>0.5625</v>
      </c>
    </row>
    <row r="33" spans="13:19" ht="19.5" customHeight="1" x14ac:dyDescent="0.2">
      <c r="M33" s="70" t="s">
        <v>171</v>
      </c>
      <c r="N33" s="44">
        <v>0.5534</v>
      </c>
      <c r="O33" s="49">
        <v>0.59047619047619049</v>
      </c>
      <c r="P33" s="50">
        <v>0.57894736842105265</v>
      </c>
      <c r="Q33" s="51">
        <v>0.5679012345679012</v>
      </c>
      <c r="R33" s="52">
        <v>0.74712643678160917</v>
      </c>
      <c r="S33" s="72">
        <v>0.79166666666666663</v>
      </c>
    </row>
    <row r="34" spans="13:19" ht="19.5" customHeight="1" x14ac:dyDescent="0.2">
      <c r="M34" s="70" t="s">
        <v>172</v>
      </c>
      <c r="N34" s="89">
        <v>0.65980000000000005</v>
      </c>
      <c r="O34" s="45">
        <v>0.65714285714285714</v>
      </c>
      <c r="P34" s="46">
        <v>0.74736842105263157</v>
      </c>
      <c r="Q34" s="47">
        <v>0.7407407407407407</v>
      </c>
      <c r="R34" s="48">
        <v>0.87356321839080464</v>
      </c>
      <c r="S34" s="71">
        <v>0.85416666666666663</v>
      </c>
    </row>
    <row r="35" spans="13:19" ht="19.5" customHeight="1" x14ac:dyDescent="0.2">
      <c r="M35" s="70" t="s">
        <v>173</v>
      </c>
      <c r="N35" s="92">
        <v>0.79760000000000009</v>
      </c>
      <c r="O35" s="49">
        <v>0.72380952380952379</v>
      </c>
      <c r="P35" s="50">
        <v>0.86315789473684212</v>
      </c>
      <c r="Q35" s="51">
        <v>0.81481481481481477</v>
      </c>
      <c r="R35" s="52">
        <v>0.89655172413793105</v>
      </c>
      <c r="S35" s="72">
        <v>0.92708333333333337</v>
      </c>
    </row>
    <row r="36" spans="13:19" ht="19.5" customHeight="1" x14ac:dyDescent="0.2">
      <c r="M36" s="70" t="s">
        <v>174</v>
      </c>
      <c r="N36" s="44"/>
      <c r="O36" s="45">
        <v>0.89523809523809528</v>
      </c>
      <c r="P36" s="46">
        <v>0.9263157894736842</v>
      </c>
      <c r="Q36" s="47">
        <v>0.85185185185185186</v>
      </c>
      <c r="R36" s="48">
        <v>0.93103448275862066</v>
      </c>
      <c r="S36" s="71">
        <v>0.95833333333333337</v>
      </c>
    </row>
    <row r="37" spans="13:19" ht="19.5" customHeight="1" x14ac:dyDescent="0.2">
      <c r="M37" s="70" t="s">
        <v>175</v>
      </c>
      <c r="N37" s="44"/>
      <c r="O37" s="49">
        <v>0.92380952380952386</v>
      </c>
      <c r="P37" s="50">
        <v>0.93684210526315792</v>
      </c>
      <c r="Q37" s="51">
        <v>0.85185185185185186</v>
      </c>
      <c r="R37" s="52">
        <v>0.93103448275862066</v>
      </c>
      <c r="S37" s="72">
        <v>0.95833333333333337</v>
      </c>
    </row>
    <row r="38" spans="13:19" ht="19.5" customHeight="1" x14ac:dyDescent="0.2">
      <c r="M38" s="70" t="s">
        <v>176</v>
      </c>
      <c r="N38" s="44"/>
      <c r="O38" s="45">
        <v>0.95238095238095233</v>
      </c>
      <c r="P38" s="46">
        <v>0.93684210526315792</v>
      </c>
      <c r="Q38" s="47">
        <v>0.85185185185185186</v>
      </c>
      <c r="R38" s="48">
        <v>0.93103448275862066</v>
      </c>
      <c r="S38" s="71">
        <v>0.95833333333333337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D233-3095-4305-A0A5-EC2E735F3025}">
  <dimension ref="B1:S38"/>
  <sheetViews>
    <sheetView showGridLines="0" topLeftCell="A5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4" width="7.33203125" bestFit="1" customWidth="1"/>
    <col min="15" max="19" width="8.16406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s">
        <v>197</v>
      </c>
      <c r="J1" s="30"/>
    </row>
    <row r="21" spans="2:19" ht="27" x14ac:dyDescent="0.35">
      <c r="B21" s="55" t="s">
        <v>198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s">
        <v>209</v>
      </c>
      <c r="S23" s="65"/>
    </row>
    <row r="24" spans="2:19" ht="19.5" customHeight="1" x14ac:dyDescent="0.2">
      <c r="M24" s="66" t="s">
        <v>156</v>
      </c>
      <c r="N24" s="56" t="s">
        <v>157</v>
      </c>
      <c r="O24" s="57" t="s">
        <v>158</v>
      </c>
      <c r="P24" s="58" t="s">
        <v>159</v>
      </c>
      <c r="Q24" s="59" t="s">
        <v>160</v>
      </c>
      <c r="R24" s="60" t="s">
        <v>161</v>
      </c>
      <c r="S24" s="67" t="s">
        <v>162</v>
      </c>
    </row>
    <row r="25" spans="2:19" ht="19.5" customHeight="1" x14ac:dyDescent="0.2">
      <c r="M25" s="68" t="s">
        <v>163</v>
      </c>
      <c r="N25" s="39"/>
      <c r="O25" s="40">
        <v>0.127</v>
      </c>
      <c r="P25" s="41">
        <v>0.1656</v>
      </c>
      <c r="Q25" s="42">
        <v>0.1053</v>
      </c>
      <c r="R25" s="43">
        <v>0.20130000000000001</v>
      </c>
      <c r="S25" s="69">
        <v>0.2797</v>
      </c>
    </row>
    <row r="26" spans="2:19" ht="19.5" customHeight="1" x14ac:dyDescent="0.2">
      <c r="M26" s="70" t="s">
        <v>164</v>
      </c>
      <c r="N26" s="44"/>
      <c r="O26" s="45">
        <v>0.20630000000000001</v>
      </c>
      <c r="P26" s="46">
        <v>0.36199999999999999</v>
      </c>
      <c r="Q26" s="47">
        <v>0.15129999999999999</v>
      </c>
      <c r="R26" s="48">
        <v>0.38990000000000002</v>
      </c>
      <c r="S26" s="71">
        <v>0.30769999999999997</v>
      </c>
    </row>
    <row r="27" spans="2:19" ht="19.5" customHeight="1" x14ac:dyDescent="0.2">
      <c r="M27" s="70" t="s">
        <v>165</v>
      </c>
      <c r="N27" s="44">
        <v>0.42009999999999997</v>
      </c>
      <c r="O27" s="49">
        <v>0.27510000000000001</v>
      </c>
      <c r="P27" s="50">
        <v>0.41720000000000002</v>
      </c>
      <c r="Q27" s="51">
        <v>0.2039</v>
      </c>
      <c r="R27" s="52">
        <v>0.42770000000000002</v>
      </c>
      <c r="S27" s="72">
        <v>0.37059999999999998</v>
      </c>
    </row>
    <row r="28" spans="2:19" ht="19.5" customHeight="1" x14ac:dyDescent="0.2">
      <c r="M28" s="70" t="s">
        <v>166</v>
      </c>
      <c r="N28" s="44">
        <v>0.4541</v>
      </c>
      <c r="O28" s="45">
        <v>0.43919999999999998</v>
      </c>
      <c r="P28" s="46">
        <v>0.4294</v>
      </c>
      <c r="Q28" s="47">
        <v>0.36180000000000001</v>
      </c>
      <c r="R28" s="48">
        <v>0.44650000000000001</v>
      </c>
      <c r="S28" s="71">
        <v>0.47549999999999998</v>
      </c>
    </row>
    <row r="29" spans="2:19" ht="19.5" customHeight="1" x14ac:dyDescent="0.2">
      <c r="M29" s="70" t="s">
        <v>167</v>
      </c>
      <c r="N29" s="44">
        <v>0.46539999999999998</v>
      </c>
      <c r="O29" s="49">
        <v>0.46029999999999999</v>
      </c>
      <c r="P29" s="50">
        <v>0.56440000000000001</v>
      </c>
      <c r="Q29" s="51">
        <v>0.38819999999999999</v>
      </c>
      <c r="R29" s="52">
        <v>0.47170000000000001</v>
      </c>
      <c r="S29" s="72">
        <v>0.48949999999999999</v>
      </c>
    </row>
    <row r="30" spans="2:19" ht="19.5" customHeight="1" x14ac:dyDescent="0.2">
      <c r="M30" s="70" t="s">
        <v>168</v>
      </c>
      <c r="N30" s="53">
        <v>0.78300000000000003</v>
      </c>
      <c r="O30" s="45">
        <v>0.71430000000000005</v>
      </c>
      <c r="P30" s="46">
        <v>0.68100000000000005</v>
      </c>
      <c r="Q30" s="47">
        <v>0.54610000000000003</v>
      </c>
      <c r="R30" s="48">
        <v>0.49059999999999998</v>
      </c>
      <c r="S30" s="71">
        <v>0.51749999999999996</v>
      </c>
    </row>
    <row r="31" spans="2:19" ht="19.5" customHeight="1" x14ac:dyDescent="0.2">
      <c r="M31" s="70" t="s">
        <v>169</v>
      </c>
      <c r="N31" s="44">
        <v>0.86380000000000001</v>
      </c>
      <c r="O31" s="49">
        <v>0.88360000000000005</v>
      </c>
      <c r="P31" s="50">
        <v>0.83440000000000003</v>
      </c>
      <c r="Q31" s="51">
        <v>0.68420000000000003</v>
      </c>
      <c r="R31" s="52">
        <v>0.71699999999999997</v>
      </c>
      <c r="S31" s="72">
        <v>0.6573</v>
      </c>
    </row>
    <row r="32" spans="2:19" ht="19.5" customHeight="1" x14ac:dyDescent="0.2">
      <c r="M32" s="70" t="s">
        <v>170</v>
      </c>
      <c r="N32" s="44">
        <v>0.91469999999999996</v>
      </c>
      <c r="O32" s="45">
        <v>0.94710000000000005</v>
      </c>
      <c r="P32" s="46">
        <v>0.95089999999999997</v>
      </c>
      <c r="Q32" s="47">
        <v>0.94740000000000002</v>
      </c>
      <c r="R32" s="48">
        <v>0.93710000000000004</v>
      </c>
      <c r="S32" s="71">
        <v>0.93010000000000004</v>
      </c>
    </row>
    <row r="33" spans="13:19" ht="19.5" customHeight="1" x14ac:dyDescent="0.2">
      <c r="M33" s="70" t="s">
        <v>171</v>
      </c>
      <c r="N33" s="44">
        <v>0.96619999999999995</v>
      </c>
      <c r="O33" s="49">
        <v>0.96299999999999997</v>
      </c>
      <c r="P33" s="50">
        <v>0.96930000000000005</v>
      </c>
      <c r="Q33" s="51">
        <v>0.96709999999999996</v>
      </c>
      <c r="R33" s="52">
        <v>0.9748</v>
      </c>
      <c r="S33" s="72">
        <v>0.98599999999999999</v>
      </c>
    </row>
    <row r="34" spans="13:19" ht="19.5" customHeight="1" x14ac:dyDescent="0.2">
      <c r="M34" s="70" t="s">
        <v>172</v>
      </c>
      <c r="N34" s="89">
        <v>0.98069999999999991</v>
      </c>
      <c r="O34" s="45">
        <v>0.98409999999999997</v>
      </c>
      <c r="P34" s="46">
        <v>0.97550000000000003</v>
      </c>
      <c r="Q34" s="47">
        <v>0.98029999999999995</v>
      </c>
      <c r="R34" s="48">
        <v>0.98109999999999997</v>
      </c>
      <c r="S34" s="71">
        <v>0.99299999999999999</v>
      </c>
    </row>
    <row r="35" spans="13:19" ht="19.5" customHeight="1" x14ac:dyDescent="0.2">
      <c r="M35" s="70" t="s">
        <v>173</v>
      </c>
      <c r="N35" s="92">
        <v>0.99029999999999996</v>
      </c>
      <c r="O35" s="49">
        <v>0.98939999999999995</v>
      </c>
      <c r="P35" s="50">
        <v>1</v>
      </c>
      <c r="Q35" s="51">
        <v>0.98680000000000001</v>
      </c>
      <c r="R35" s="52">
        <v>0.99370000000000003</v>
      </c>
      <c r="S35" s="72">
        <v>0.99299999999999999</v>
      </c>
    </row>
    <row r="36" spans="13:19" ht="19.5" customHeight="1" x14ac:dyDescent="0.2">
      <c r="M36" s="70" t="s">
        <v>174</v>
      </c>
      <c r="N36" s="44"/>
      <c r="O36" s="45">
        <v>0.99470000000000003</v>
      </c>
      <c r="P36" s="46">
        <v>1</v>
      </c>
      <c r="Q36" s="47">
        <v>0.98680000000000001</v>
      </c>
      <c r="R36" s="48">
        <v>0.99370000000000003</v>
      </c>
      <c r="S36" s="71">
        <v>0.99299999999999999</v>
      </c>
    </row>
    <row r="37" spans="13:19" ht="19.5" customHeight="1" x14ac:dyDescent="0.2">
      <c r="M37" s="70" t="s">
        <v>175</v>
      </c>
      <c r="N37" s="44"/>
      <c r="O37" s="49">
        <v>0.99470000000000003</v>
      </c>
      <c r="P37" s="50">
        <v>1</v>
      </c>
      <c r="Q37" s="51">
        <v>0.98680000000000001</v>
      </c>
      <c r="R37" s="52">
        <v>0.99370000000000003</v>
      </c>
      <c r="S37" s="72">
        <v>0.99299999999999999</v>
      </c>
    </row>
    <row r="38" spans="13:19" ht="19.5" customHeight="1" x14ac:dyDescent="0.2">
      <c r="M38" s="70" t="s">
        <v>176</v>
      </c>
      <c r="N38" s="44"/>
      <c r="O38" s="45">
        <v>0.99470000000000003</v>
      </c>
      <c r="P38" s="46">
        <v>1</v>
      </c>
      <c r="Q38" s="47">
        <v>0.98680000000000001</v>
      </c>
      <c r="R38" s="48">
        <v>0.99370000000000003</v>
      </c>
      <c r="S38" s="71">
        <v>0.99299999999999999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BD0F8-D85A-45A6-B5DB-6B9E9C5D6E9C}">
  <dimension ref="B1:S38"/>
  <sheetViews>
    <sheetView showGridLines="0" topLeftCell="A4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4" width="7.33203125" bestFit="1" customWidth="1"/>
    <col min="15" max="19" width="8.16406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s">
        <v>199</v>
      </c>
      <c r="J1" s="30"/>
    </row>
    <row r="21" spans="2:19" ht="27" x14ac:dyDescent="0.35">
      <c r="B21" s="55" t="s">
        <v>200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s">
        <v>209</v>
      </c>
      <c r="S23" s="65"/>
    </row>
    <row r="24" spans="2:19" ht="19.5" customHeight="1" x14ac:dyDescent="0.2">
      <c r="M24" s="66" t="s">
        <v>156</v>
      </c>
      <c r="N24" s="56" t="s">
        <v>157</v>
      </c>
      <c r="O24" s="57" t="s">
        <v>158</v>
      </c>
      <c r="P24" s="58" t="s">
        <v>159</v>
      </c>
      <c r="Q24" s="59" t="s">
        <v>160</v>
      </c>
      <c r="R24" s="60" t="s">
        <v>161</v>
      </c>
      <c r="S24" s="67" t="s">
        <v>162</v>
      </c>
    </row>
    <row r="25" spans="2:19" ht="19.5" customHeight="1" x14ac:dyDescent="0.2">
      <c r="M25" s="68" t="s">
        <v>163</v>
      </c>
      <c r="N25" s="39"/>
      <c r="O25" s="40">
        <v>5.7500000000000002E-2</v>
      </c>
      <c r="P25" s="41">
        <v>5.33E-2</v>
      </c>
      <c r="Q25" s="42">
        <v>3.2300000000000002E-2</v>
      </c>
      <c r="R25" s="43">
        <v>5.8400000000000001E-2</v>
      </c>
      <c r="S25" s="69">
        <v>8.43E-2</v>
      </c>
    </row>
    <row r="26" spans="2:19" ht="19.5" customHeight="1" x14ac:dyDescent="0.2">
      <c r="M26" s="70" t="s">
        <v>164</v>
      </c>
      <c r="N26" s="44"/>
      <c r="O26" s="45">
        <v>0.10340000000000001</v>
      </c>
      <c r="P26" s="46">
        <v>0.08</v>
      </c>
      <c r="Q26" s="47">
        <v>6.4500000000000002E-2</v>
      </c>
      <c r="R26" s="48">
        <v>0.2336</v>
      </c>
      <c r="S26" s="71">
        <v>0.40960000000000002</v>
      </c>
    </row>
    <row r="27" spans="2:19" ht="19.5" customHeight="1" x14ac:dyDescent="0.2">
      <c r="M27" s="70" t="s">
        <v>165</v>
      </c>
      <c r="N27" s="44">
        <v>0.3014</v>
      </c>
      <c r="O27" s="49">
        <v>0.2414</v>
      </c>
      <c r="P27" s="50">
        <v>0.25330000000000003</v>
      </c>
      <c r="Q27" s="51">
        <v>0.371</v>
      </c>
      <c r="R27" s="52">
        <v>0.34310000000000002</v>
      </c>
      <c r="S27" s="72">
        <v>0.44579999999999997</v>
      </c>
    </row>
    <row r="28" spans="2:19" ht="19.5" customHeight="1" x14ac:dyDescent="0.2">
      <c r="M28" s="70" t="s">
        <v>166</v>
      </c>
      <c r="N28" s="44">
        <v>0.34250000000000003</v>
      </c>
      <c r="O28" s="45">
        <v>0.31030000000000002</v>
      </c>
      <c r="P28" s="46">
        <v>0.36</v>
      </c>
      <c r="Q28" s="47">
        <v>0.4758</v>
      </c>
      <c r="R28" s="48">
        <v>0.48180000000000001</v>
      </c>
      <c r="S28" s="71">
        <v>0.50600000000000001</v>
      </c>
    </row>
    <row r="29" spans="2:19" ht="19.5" customHeight="1" x14ac:dyDescent="0.2">
      <c r="M29" s="70" t="s">
        <v>167</v>
      </c>
      <c r="N29" s="44">
        <v>0.43840000000000001</v>
      </c>
      <c r="O29" s="49">
        <v>0.33329999999999999</v>
      </c>
      <c r="P29" s="50">
        <v>0.49330000000000002</v>
      </c>
      <c r="Q29" s="51">
        <v>0.4919</v>
      </c>
      <c r="R29" s="52">
        <v>0.51090000000000002</v>
      </c>
      <c r="S29" s="72">
        <v>0.53010000000000002</v>
      </c>
    </row>
    <row r="30" spans="2:19" ht="19.5" customHeight="1" x14ac:dyDescent="0.2">
      <c r="M30" s="70" t="s">
        <v>168</v>
      </c>
      <c r="N30" s="53">
        <v>0.47949999999999998</v>
      </c>
      <c r="O30" s="45">
        <v>0.42530000000000001</v>
      </c>
      <c r="P30" s="46">
        <v>0.50670000000000004</v>
      </c>
      <c r="Q30" s="47">
        <v>0.5161</v>
      </c>
      <c r="R30" s="48">
        <v>0.59119999999999995</v>
      </c>
      <c r="S30" s="71">
        <v>0.59040000000000004</v>
      </c>
    </row>
    <row r="31" spans="2:19" ht="19.5" customHeight="1" x14ac:dyDescent="0.2">
      <c r="M31" s="70" t="s">
        <v>169</v>
      </c>
      <c r="N31" s="44">
        <v>0.51390000000000002</v>
      </c>
      <c r="O31" s="49">
        <v>0.50570000000000004</v>
      </c>
      <c r="P31" s="50">
        <v>0.5333</v>
      </c>
      <c r="Q31" s="51">
        <v>0.5484</v>
      </c>
      <c r="R31" s="52">
        <v>0.64959999999999996</v>
      </c>
      <c r="S31" s="72">
        <v>0.62649999999999995</v>
      </c>
    </row>
    <row r="32" spans="2:19" ht="19.5" customHeight="1" x14ac:dyDescent="0.2">
      <c r="M32" s="70" t="s">
        <v>170</v>
      </c>
      <c r="N32" s="44">
        <v>0.60870000000000002</v>
      </c>
      <c r="O32" s="45">
        <v>0.54020000000000001</v>
      </c>
      <c r="P32" s="46">
        <v>0.57330000000000003</v>
      </c>
      <c r="Q32" s="47">
        <v>0.5887</v>
      </c>
      <c r="R32" s="48">
        <v>0.70799999999999996</v>
      </c>
      <c r="S32" s="71">
        <v>0.66269999999999996</v>
      </c>
    </row>
    <row r="33" spans="13:19" ht="19.5" customHeight="1" x14ac:dyDescent="0.2">
      <c r="M33" s="70" t="s">
        <v>171</v>
      </c>
      <c r="N33" s="44">
        <v>0.66669999999999996</v>
      </c>
      <c r="O33" s="49">
        <v>0.60919999999999996</v>
      </c>
      <c r="P33" s="50">
        <v>0.68</v>
      </c>
      <c r="Q33" s="51">
        <v>0.7177</v>
      </c>
      <c r="R33" s="52">
        <v>0.76639999999999997</v>
      </c>
      <c r="S33" s="72">
        <v>0.77110000000000001</v>
      </c>
    </row>
    <row r="34" spans="13:19" ht="19.5" customHeight="1" x14ac:dyDescent="0.2">
      <c r="M34" s="70" t="s">
        <v>172</v>
      </c>
      <c r="N34" s="89">
        <v>0.72459999999999991</v>
      </c>
      <c r="O34" s="45">
        <v>0.70109999999999995</v>
      </c>
      <c r="P34" s="46">
        <v>0.73329999999999995</v>
      </c>
      <c r="Q34" s="47">
        <v>0.7903</v>
      </c>
      <c r="R34" s="48">
        <v>0.86860000000000004</v>
      </c>
      <c r="S34" s="71">
        <v>0.81930000000000003</v>
      </c>
    </row>
    <row r="35" spans="13:19" ht="19.5" customHeight="1" x14ac:dyDescent="0.2">
      <c r="M35" s="70" t="s">
        <v>173</v>
      </c>
      <c r="N35" s="92">
        <v>0.79409999999999992</v>
      </c>
      <c r="O35" s="49">
        <v>0.79310000000000003</v>
      </c>
      <c r="P35" s="50">
        <v>0.8</v>
      </c>
      <c r="Q35" s="51">
        <v>0.8306</v>
      </c>
      <c r="R35" s="52">
        <v>0.92700000000000005</v>
      </c>
      <c r="S35" s="72">
        <v>0.92769999999999997</v>
      </c>
    </row>
    <row r="36" spans="13:19" ht="19.5" customHeight="1" x14ac:dyDescent="0.2">
      <c r="M36" s="70" t="s">
        <v>174</v>
      </c>
      <c r="N36" s="44"/>
      <c r="O36" s="45">
        <v>0.8276</v>
      </c>
      <c r="P36" s="46">
        <v>0.85329999999999995</v>
      </c>
      <c r="Q36" s="47">
        <v>0.8871</v>
      </c>
      <c r="R36" s="48">
        <v>0.95620000000000005</v>
      </c>
      <c r="S36" s="71">
        <v>0.93979999999999997</v>
      </c>
    </row>
    <row r="37" spans="13:19" ht="19.5" customHeight="1" x14ac:dyDescent="0.2">
      <c r="M37" s="70" t="s">
        <v>175</v>
      </c>
      <c r="N37" s="44"/>
      <c r="O37" s="49">
        <v>0.86209999999999998</v>
      </c>
      <c r="P37" s="50">
        <v>0.88</v>
      </c>
      <c r="Q37" s="51">
        <v>0.9113</v>
      </c>
      <c r="R37" s="52">
        <v>0.9708</v>
      </c>
      <c r="S37" s="72">
        <v>0.95179999999999998</v>
      </c>
    </row>
    <row r="38" spans="13:19" ht="19.5" customHeight="1" x14ac:dyDescent="0.2">
      <c r="M38" s="70" t="s">
        <v>176</v>
      </c>
      <c r="N38" s="44"/>
      <c r="O38" s="45">
        <v>0.87360000000000004</v>
      </c>
      <c r="P38" s="46">
        <v>0.88</v>
      </c>
      <c r="Q38" s="47">
        <v>0.94350000000000001</v>
      </c>
      <c r="R38" s="48">
        <v>0.98540000000000005</v>
      </c>
      <c r="S38" s="71">
        <v>0.95179999999999998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59617-FA18-414D-95A8-3C9232F3621D}">
  <dimension ref="B1:S38"/>
  <sheetViews>
    <sheetView showGridLines="0" topLeftCell="A8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4" width="7.33203125" bestFit="1" customWidth="1"/>
    <col min="15" max="19" width="8.16406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s">
        <v>201</v>
      </c>
      <c r="J1" s="30"/>
    </row>
    <row r="21" spans="2:19" ht="27" x14ac:dyDescent="0.35">
      <c r="B21" s="55" t="s">
        <v>202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s">
        <v>209</v>
      </c>
      <c r="S23" s="65"/>
    </row>
    <row r="24" spans="2:19" ht="19.5" customHeight="1" x14ac:dyDescent="0.2">
      <c r="M24" s="66" t="s">
        <v>156</v>
      </c>
      <c r="N24" s="56" t="s">
        <v>157</v>
      </c>
      <c r="O24" s="57" t="s">
        <v>158</v>
      </c>
      <c r="P24" s="58" t="s">
        <v>159</v>
      </c>
      <c r="Q24" s="59" t="s">
        <v>160</v>
      </c>
      <c r="R24" s="60" t="s">
        <v>161</v>
      </c>
      <c r="S24" s="67" t="s">
        <v>162</v>
      </c>
    </row>
    <row r="25" spans="2:19" ht="19.5" customHeight="1" x14ac:dyDescent="0.2">
      <c r="M25" s="68" t="s">
        <v>163</v>
      </c>
      <c r="N25" s="39"/>
      <c r="O25" s="40">
        <v>4.3999999999999997E-2</v>
      </c>
      <c r="P25" s="41">
        <v>9.5699999999999993E-2</v>
      </c>
      <c r="Q25" s="42">
        <v>6.9000000000000006E-2</v>
      </c>
      <c r="R25" s="43">
        <v>6.9800000000000001E-2</v>
      </c>
      <c r="S25" s="69">
        <v>6.7599999999999993E-2</v>
      </c>
    </row>
    <row r="26" spans="2:19" ht="19.5" customHeight="1" x14ac:dyDescent="0.2">
      <c r="M26" s="70" t="s">
        <v>164</v>
      </c>
      <c r="N26" s="44"/>
      <c r="O26" s="45">
        <v>7.6899999999999996E-2</v>
      </c>
      <c r="P26" s="46">
        <v>0.15959999999999999</v>
      </c>
      <c r="Q26" s="47">
        <v>0.10340000000000001</v>
      </c>
      <c r="R26" s="48">
        <v>0.12790000000000001</v>
      </c>
      <c r="S26" s="71">
        <v>0.1216</v>
      </c>
    </row>
    <row r="27" spans="2:19" ht="19.5" customHeight="1" x14ac:dyDescent="0.2">
      <c r="M27" s="70" t="s">
        <v>165</v>
      </c>
      <c r="N27" s="44">
        <v>0.14000000000000001</v>
      </c>
      <c r="O27" s="49">
        <v>9.8900000000000002E-2</v>
      </c>
      <c r="P27" s="50">
        <v>0.18090000000000001</v>
      </c>
      <c r="Q27" s="51">
        <v>0.13789999999999999</v>
      </c>
      <c r="R27" s="52">
        <v>0.19769999999999999</v>
      </c>
      <c r="S27" s="72">
        <v>0.1757</v>
      </c>
    </row>
    <row r="28" spans="2:19" ht="19.5" customHeight="1" x14ac:dyDescent="0.2">
      <c r="M28" s="70" t="s">
        <v>166</v>
      </c>
      <c r="N28" s="44">
        <v>0.20619999999999999</v>
      </c>
      <c r="O28" s="45">
        <v>0.13189999999999999</v>
      </c>
      <c r="P28" s="46">
        <v>0.27660000000000001</v>
      </c>
      <c r="Q28" s="47">
        <v>0.2069</v>
      </c>
      <c r="R28" s="48">
        <v>0.3372</v>
      </c>
      <c r="S28" s="71">
        <v>0.32429999999999998</v>
      </c>
    </row>
    <row r="29" spans="2:19" ht="19.5" customHeight="1" x14ac:dyDescent="0.2">
      <c r="M29" s="70" t="s">
        <v>167</v>
      </c>
      <c r="N29" s="44">
        <v>0.25509999999999999</v>
      </c>
      <c r="O29" s="49">
        <v>0.1429</v>
      </c>
      <c r="P29" s="50">
        <v>0.28720000000000001</v>
      </c>
      <c r="Q29" s="51">
        <v>0.2414</v>
      </c>
      <c r="R29" s="52">
        <v>0.36049999999999999</v>
      </c>
      <c r="S29" s="72">
        <v>0.33779999999999999</v>
      </c>
    </row>
    <row r="30" spans="2:19" ht="19.5" customHeight="1" x14ac:dyDescent="0.2">
      <c r="M30" s="70" t="s">
        <v>168</v>
      </c>
      <c r="N30" s="53">
        <v>0.4078</v>
      </c>
      <c r="O30" s="45">
        <v>0.31869999999999998</v>
      </c>
      <c r="P30" s="46">
        <v>0.37230000000000002</v>
      </c>
      <c r="Q30" s="47">
        <v>0.33329999999999999</v>
      </c>
      <c r="R30" s="48">
        <v>0.47670000000000001</v>
      </c>
      <c r="S30" s="71">
        <v>0.37840000000000001</v>
      </c>
    </row>
    <row r="31" spans="2:19" ht="19.5" customHeight="1" x14ac:dyDescent="0.2">
      <c r="M31" s="70" t="s">
        <v>169</v>
      </c>
      <c r="N31" s="44">
        <v>0.4466</v>
      </c>
      <c r="O31" s="49">
        <v>0.3407</v>
      </c>
      <c r="P31" s="50">
        <v>0.43619999999999998</v>
      </c>
      <c r="Q31" s="51">
        <v>0.35630000000000001</v>
      </c>
      <c r="R31" s="52">
        <v>0.52329999999999999</v>
      </c>
      <c r="S31" s="72">
        <v>0.56759999999999999</v>
      </c>
    </row>
    <row r="32" spans="2:19" ht="19.5" customHeight="1" x14ac:dyDescent="0.2">
      <c r="M32" s="70" t="s">
        <v>170</v>
      </c>
      <c r="N32" s="44">
        <v>0.54459999999999997</v>
      </c>
      <c r="O32" s="45">
        <v>0.53849999999999998</v>
      </c>
      <c r="P32" s="46">
        <v>0.61699999999999999</v>
      </c>
      <c r="Q32" s="47">
        <v>0.66669999999999996</v>
      </c>
      <c r="R32" s="48">
        <v>0.73260000000000003</v>
      </c>
      <c r="S32" s="71">
        <v>0.71619999999999995</v>
      </c>
    </row>
    <row r="33" spans="13:19" ht="19.5" customHeight="1" x14ac:dyDescent="0.2">
      <c r="M33" s="70" t="s">
        <v>171</v>
      </c>
      <c r="N33" s="44">
        <v>0.66990000000000005</v>
      </c>
      <c r="O33" s="49">
        <v>0.64839999999999998</v>
      </c>
      <c r="P33" s="50">
        <v>0.67020000000000002</v>
      </c>
      <c r="Q33" s="51">
        <v>0.68969999999999998</v>
      </c>
      <c r="R33" s="52">
        <v>0.8256</v>
      </c>
      <c r="S33" s="72">
        <v>0.81079999999999997</v>
      </c>
    </row>
    <row r="34" spans="13:19" ht="19.5" customHeight="1" x14ac:dyDescent="0.2">
      <c r="M34" s="70" t="s">
        <v>172</v>
      </c>
      <c r="N34" s="89">
        <v>0.79120000000000001</v>
      </c>
      <c r="O34" s="45">
        <v>0.70330000000000004</v>
      </c>
      <c r="P34" s="46">
        <v>0.6915</v>
      </c>
      <c r="Q34" s="47">
        <v>0.72409999999999997</v>
      </c>
      <c r="R34" s="48">
        <v>0.90700000000000003</v>
      </c>
      <c r="S34" s="71">
        <v>0.8649</v>
      </c>
    </row>
    <row r="35" spans="13:19" ht="19.5" customHeight="1" x14ac:dyDescent="0.2">
      <c r="M35" s="70" t="s">
        <v>173</v>
      </c>
      <c r="N35" s="92">
        <v>0.81519999999999992</v>
      </c>
      <c r="O35" s="49">
        <v>0.81320000000000003</v>
      </c>
      <c r="P35" s="50">
        <v>0.71279999999999999</v>
      </c>
      <c r="Q35" s="51">
        <v>0.81610000000000005</v>
      </c>
      <c r="R35" s="52">
        <v>0.96509999999999996</v>
      </c>
      <c r="S35" s="72">
        <v>0.87839999999999996</v>
      </c>
    </row>
    <row r="36" spans="13:19" ht="19.5" customHeight="1" x14ac:dyDescent="0.2">
      <c r="M36" s="70" t="s">
        <v>174</v>
      </c>
      <c r="N36" s="44"/>
      <c r="O36" s="45">
        <v>0.8901</v>
      </c>
      <c r="P36" s="46">
        <v>0.88300000000000001</v>
      </c>
      <c r="Q36" s="47">
        <v>0.93100000000000005</v>
      </c>
      <c r="R36" s="48">
        <v>1.0116000000000001</v>
      </c>
      <c r="S36" s="71">
        <v>0.97299999999999998</v>
      </c>
    </row>
    <row r="37" spans="13:19" ht="19.5" customHeight="1" x14ac:dyDescent="0.2">
      <c r="M37" s="70" t="s">
        <v>175</v>
      </c>
      <c r="N37" s="44"/>
      <c r="O37" s="49">
        <v>0.94510000000000005</v>
      </c>
      <c r="P37" s="50">
        <v>0.90429999999999999</v>
      </c>
      <c r="Q37" s="51">
        <v>0.9425</v>
      </c>
      <c r="R37" s="52">
        <v>1.0116000000000001</v>
      </c>
      <c r="S37" s="72">
        <v>1</v>
      </c>
    </row>
    <row r="38" spans="13:19" ht="19.5" customHeight="1" x14ac:dyDescent="0.2">
      <c r="M38" s="70" t="s">
        <v>176</v>
      </c>
      <c r="N38" s="44"/>
      <c r="O38" s="45">
        <v>0.94510000000000005</v>
      </c>
      <c r="P38" s="46">
        <v>0.90429999999999999</v>
      </c>
      <c r="Q38" s="47">
        <v>0.9425</v>
      </c>
      <c r="R38" s="48">
        <v>1.0116000000000001</v>
      </c>
      <c r="S38" s="71">
        <v>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176C8-0F19-4513-82F0-CB1BDAEC043F}">
  <dimension ref="B1:S38"/>
  <sheetViews>
    <sheetView showGridLines="0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4" width="7.33203125" bestFit="1" customWidth="1"/>
    <col min="15" max="19" width="8.16406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s">
        <v>203</v>
      </c>
      <c r="J1" s="30"/>
    </row>
    <row r="21" spans="2:19" ht="27" x14ac:dyDescent="0.35">
      <c r="B21" s="55" t="s">
        <v>204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s">
        <v>209</v>
      </c>
      <c r="S23" s="65"/>
    </row>
    <row r="24" spans="2:19" ht="19.5" customHeight="1" x14ac:dyDescent="0.2">
      <c r="M24" s="66" t="s">
        <v>156</v>
      </c>
      <c r="N24" s="56" t="s">
        <v>157</v>
      </c>
      <c r="O24" s="57" t="s">
        <v>158</v>
      </c>
      <c r="P24" s="58" t="s">
        <v>159</v>
      </c>
      <c r="Q24" s="59" t="s">
        <v>160</v>
      </c>
      <c r="R24" s="60" t="s">
        <v>161</v>
      </c>
      <c r="S24" s="67" t="s">
        <v>162</v>
      </c>
    </row>
    <row r="25" spans="2:19" ht="19.5" customHeight="1" x14ac:dyDescent="0.2">
      <c r="M25" s="68" t="s">
        <v>163</v>
      </c>
      <c r="N25" s="39"/>
      <c r="O25" s="40">
        <v>0</v>
      </c>
      <c r="P25" s="41">
        <v>9.0899999999999995E-2</v>
      </c>
      <c r="Q25" s="42">
        <v>0</v>
      </c>
      <c r="R25" s="43">
        <v>2.9399999999999999E-2</v>
      </c>
      <c r="S25" s="69">
        <v>0</v>
      </c>
    </row>
    <row r="26" spans="2:19" ht="19.5" customHeight="1" x14ac:dyDescent="0.2">
      <c r="M26" s="70" t="s">
        <v>164</v>
      </c>
      <c r="N26" s="44"/>
      <c r="O26" s="45">
        <v>0</v>
      </c>
      <c r="P26" s="46">
        <v>9.0899999999999995E-2</v>
      </c>
      <c r="Q26" s="47">
        <v>0</v>
      </c>
      <c r="R26" s="48">
        <v>2.9399999999999999E-2</v>
      </c>
      <c r="S26" s="71">
        <v>2.5000000000000001E-2</v>
      </c>
    </row>
    <row r="27" spans="2:19" ht="19.5" customHeight="1" x14ac:dyDescent="0.2">
      <c r="M27" s="70" t="s">
        <v>165</v>
      </c>
      <c r="N27" s="44">
        <v>2.9399999999999999E-2</v>
      </c>
      <c r="O27" s="49">
        <v>0</v>
      </c>
      <c r="P27" s="50">
        <v>0.1212</v>
      </c>
      <c r="Q27" s="51">
        <v>3.3300000000000003E-2</v>
      </c>
      <c r="R27" s="52">
        <v>2.9399999999999999E-2</v>
      </c>
      <c r="S27" s="72">
        <v>2.5000000000000001E-2</v>
      </c>
    </row>
    <row r="28" spans="2:19" ht="19.5" customHeight="1" x14ac:dyDescent="0.2">
      <c r="M28" s="70" t="s">
        <v>166</v>
      </c>
      <c r="N28" s="44">
        <v>2.9399999999999999E-2</v>
      </c>
      <c r="O28" s="45">
        <v>6.6699999999999995E-2</v>
      </c>
      <c r="P28" s="46">
        <v>0.1212</v>
      </c>
      <c r="Q28" s="47">
        <v>0.1</v>
      </c>
      <c r="R28" s="48">
        <v>5.8799999999999998E-2</v>
      </c>
      <c r="S28" s="71">
        <v>2.5000000000000001E-2</v>
      </c>
    </row>
    <row r="29" spans="2:19" ht="19.5" customHeight="1" x14ac:dyDescent="0.2">
      <c r="M29" s="70" t="s">
        <v>167</v>
      </c>
      <c r="N29" s="44">
        <v>6.25E-2</v>
      </c>
      <c r="O29" s="49">
        <v>0.1</v>
      </c>
      <c r="P29" s="50">
        <v>0.1515</v>
      </c>
      <c r="Q29" s="51">
        <v>0.1</v>
      </c>
      <c r="R29" s="52">
        <v>0.1176</v>
      </c>
      <c r="S29" s="72">
        <v>7.4999999999999997E-2</v>
      </c>
    </row>
    <row r="30" spans="2:19" ht="19.5" customHeight="1" x14ac:dyDescent="0.2">
      <c r="M30" s="70" t="s">
        <v>168</v>
      </c>
      <c r="N30" s="53">
        <v>6.4500000000000002E-2</v>
      </c>
      <c r="O30" s="45">
        <v>0.1333</v>
      </c>
      <c r="P30" s="46">
        <v>0.21210000000000001</v>
      </c>
      <c r="Q30" s="47">
        <v>0.1</v>
      </c>
      <c r="R30" s="48">
        <v>0.17649999999999999</v>
      </c>
      <c r="S30" s="71">
        <v>7.4999999999999997E-2</v>
      </c>
    </row>
    <row r="31" spans="2:19" ht="19.5" customHeight="1" x14ac:dyDescent="0.2">
      <c r="M31" s="70" t="s">
        <v>169</v>
      </c>
      <c r="N31" s="44">
        <v>0.1515</v>
      </c>
      <c r="O31" s="49">
        <v>0.2</v>
      </c>
      <c r="P31" s="50">
        <v>0.2727</v>
      </c>
      <c r="Q31" s="51">
        <v>0.1333</v>
      </c>
      <c r="R31" s="52">
        <v>0.26469999999999999</v>
      </c>
      <c r="S31" s="72">
        <v>0.1</v>
      </c>
    </row>
    <row r="32" spans="2:19" ht="19.5" customHeight="1" x14ac:dyDescent="0.2">
      <c r="M32" s="70" t="s">
        <v>170</v>
      </c>
      <c r="N32" s="44">
        <v>0.25</v>
      </c>
      <c r="O32" s="45">
        <v>0.3</v>
      </c>
      <c r="P32" s="46">
        <v>0.51519999999999999</v>
      </c>
      <c r="Q32" s="47">
        <v>0.26669999999999999</v>
      </c>
      <c r="R32" s="48">
        <v>0.38240000000000002</v>
      </c>
      <c r="S32" s="71">
        <v>0.32500000000000001</v>
      </c>
    </row>
    <row r="33" spans="13:19" ht="19.5" customHeight="1" x14ac:dyDescent="0.2">
      <c r="M33" s="70" t="s">
        <v>171</v>
      </c>
      <c r="N33" s="44">
        <v>0.45829999999999999</v>
      </c>
      <c r="O33" s="49">
        <v>0.5</v>
      </c>
      <c r="P33" s="50">
        <v>0.66669999999999996</v>
      </c>
      <c r="Q33" s="51">
        <v>0.43330000000000002</v>
      </c>
      <c r="R33" s="52">
        <v>0.47060000000000002</v>
      </c>
      <c r="S33" s="72">
        <v>0.57499999999999996</v>
      </c>
    </row>
    <row r="34" spans="13:19" ht="19.5" customHeight="1" x14ac:dyDescent="0.2">
      <c r="M34" s="70" t="s">
        <v>172</v>
      </c>
      <c r="N34" s="89">
        <v>0.54170000000000007</v>
      </c>
      <c r="O34" s="45">
        <v>0.63329999999999997</v>
      </c>
      <c r="P34" s="46">
        <v>0.75760000000000005</v>
      </c>
      <c r="Q34" s="47">
        <v>0.43330000000000002</v>
      </c>
      <c r="R34" s="48">
        <v>0.52939999999999998</v>
      </c>
      <c r="S34" s="71">
        <v>0.65</v>
      </c>
    </row>
    <row r="35" spans="13:19" ht="19.5" customHeight="1" x14ac:dyDescent="0.2">
      <c r="M35" s="70" t="s">
        <v>173</v>
      </c>
      <c r="N35" s="92">
        <v>0.68180000000000007</v>
      </c>
      <c r="O35" s="49">
        <v>0.73329999999999995</v>
      </c>
      <c r="P35" s="50">
        <v>0.81820000000000004</v>
      </c>
      <c r="Q35" s="51">
        <v>0.7</v>
      </c>
      <c r="R35" s="52">
        <v>0.79410000000000003</v>
      </c>
      <c r="S35" s="72">
        <v>0.72499999999999998</v>
      </c>
    </row>
    <row r="36" spans="13:19" ht="19.5" customHeight="1" x14ac:dyDescent="0.2">
      <c r="M36" s="70" t="s">
        <v>174</v>
      </c>
      <c r="N36" s="44"/>
      <c r="O36" s="45">
        <v>0.8</v>
      </c>
      <c r="P36" s="46">
        <v>0.87880000000000003</v>
      </c>
      <c r="Q36" s="47">
        <v>0.7</v>
      </c>
      <c r="R36" s="48">
        <v>0.91180000000000005</v>
      </c>
      <c r="S36" s="71">
        <v>0.77500000000000002</v>
      </c>
    </row>
    <row r="37" spans="13:19" ht="19.5" customHeight="1" x14ac:dyDescent="0.2">
      <c r="M37" s="70" t="s">
        <v>175</v>
      </c>
      <c r="N37" s="44"/>
      <c r="O37" s="49">
        <v>0.83330000000000004</v>
      </c>
      <c r="P37" s="50">
        <v>0.90910000000000002</v>
      </c>
      <c r="Q37" s="51">
        <v>0.73329999999999995</v>
      </c>
      <c r="R37" s="52">
        <v>0.91180000000000005</v>
      </c>
      <c r="S37" s="72">
        <v>0.8</v>
      </c>
    </row>
    <row r="38" spans="13:19" ht="19.5" customHeight="1" x14ac:dyDescent="0.2">
      <c r="M38" s="70" t="s">
        <v>176</v>
      </c>
      <c r="N38" s="44"/>
      <c r="O38" s="45">
        <v>0.86670000000000003</v>
      </c>
      <c r="P38" s="46">
        <v>0.90910000000000002</v>
      </c>
      <c r="Q38" s="47">
        <v>0.73329999999999995</v>
      </c>
      <c r="R38" s="48">
        <v>0.91180000000000005</v>
      </c>
      <c r="S38" s="71">
        <v>0.8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MSB Full-Time Dashboard</vt:lpstr>
      <vt:lpstr>NittyGrittySheet</vt:lpstr>
      <vt:lpstr>BSAcc</vt:lpstr>
      <vt:lpstr>BSEDM</vt:lpstr>
      <vt:lpstr>BSEnt</vt:lpstr>
      <vt:lpstr>BSFin</vt:lpstr>
      <vt:lpstr>BSGSCM</vt:lpstr>
      <vt:lpstr>BSHRM</vt:lpstr>
      <vt:lpstr>BSIS</vt:lpstr>
      <vt:lpstr>BSBusM</vt:lpstr>
      <vt:lpstr>BSMktg</vt:lpstr>
      <vt:lpstr>BSStrat</vt:lpstr>
      <vt:lpstr>MAcc</vt:lpstr>
      <vt:lpstr>MBA</vt:lpstr>
      <vt:lpstr>MISM</vt:lpstr>
      <vt:lpstr>MPA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Spencer Ord</dc:creator>
  <cp:keywords/>
  <dc:description/>
  <cp:lastModifiedBy>Carlos Knight</cp:lastModifiedBy>
  <cp:revision/>
  <dcterms:created xsi:type="dcterms:W3CDTF">2026-01-21T15:54:49Z</dcterms:created>
  <dcterms:modified xsi:type="dcterms:W3CDTF">2026-06-30T15:06:40Z</dcterms:modified>
  <cp:category/>
  <cp:contentStatus/>
</cp:coreProperties>
</file>
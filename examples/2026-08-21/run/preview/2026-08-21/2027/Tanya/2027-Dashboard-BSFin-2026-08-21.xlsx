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4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43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44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tables/table45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tables/table46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1.xml" ContentType="application/vnd.openxmlformats-officedocument.drawing+xml"/>
  <Override PartName="/xl/tables/table47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tables/table48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tables/table49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4.xml" ContentType="application/vnd.openxmlformats-officedocument.drawing+xml"/>
  <Override PartName="/xl/tables/table50.xml" ContentType="application/vnd.openxmlformats-officedocument.spreadsheetml.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5.xml" ContentType="application/vnd.openxmlformats-officedocument.drawing+xml"/>
  <Override PartName="/xl/tables/table51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k/Desktop/Placement Rate/June 26th/"/>
    </mc:Choice>
  </mc:AlternateContent>
  <xr:revisionPtr revIDLastSave="0" documentId="13_ncr:1_{08321DE6-562C-1B4C-B988-B90184B89262}" xr6:coauthVersionLast="47" xr6:coauthVersionMax="47" xr10:uidLastSave="{00000000-0000-0000-0000-000000000000}"/>
  <bookViews>
    <workbookView xWindow="0" yWindow="660" windowWidth="29020" windowHeight="18320" activeTab="1" xr2:uid="{412C759F-4CD3-4E4E-BD75-0142ACCA7E17}"/>
  </bookViews>
  <sheets>
    <sheet name="MSB Full-Time Dashboard" sheetId="2" r:id="rId1"/>
    <sheet name="NittyGrittySheet" sheetId="18" r:id="rId2"/>
    <sheet name="BSAcc" sheetId="19" r:id="rId3"/>
    <sheet name="BSEDM" sheetId="20" r:id="rId4"/>
    <sheet name="BSEnt" sheetId="21" r:id="rId5"/>
    <sheet name="BSFin" sheetId="22" r:id="rId6"/>
    <sheet name="BSGSCM" sheetId="23" r:id="rId7"/>
    <sheet name="BSHRM" sheetId="24" r:id="rId8"/>
    <sheet name="BSIS" sheetId="25" r:id="rId9"/>
    <sheet name="BSBusM" sheetId="26" r:id="rId10"/>
    <sheet name="BSMktg" sheetId="27" r:id="rId11"/>
    <sheet name="BSStrat" sheetId="28" r:id="rId12"/>
    <sheet name="MAcc" sheetId="29" r:id="rId13"/>
    <sheet name="MBA" sheetId="30" r:id="rId14"/>
    <sheet name="MISM" sheetId="31" r:id="rId15"/>
    <sheet name="MPA" sheetId="32" r:id="rId16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<sst xmlns="http://schemas.openxmlformats.org/spreadsheetml/2006/main" count="3416" uniqueCount="219">
  <si>
    <t>MSB Full-Time Dashboard Data</t>
  </si>
  <si>
    <t>Class of 2026</t>
  </si>
  <si>
    <t>Class of 2025</t>
  </si>
  <si>
    <t>Class of 2024</t>
  </si>
  <si>
    <t>Class of 2023</t>
  </si>
  <si>
    <t>Class of 2022</t>
  </si>
  <si>
    <t>Class of 2021</t>
  </si>
  <si>
    <t>Placement Month</t>
  </si>
  <si>
    <t>Accepted Offers</t>
  </si>
  <si>
    <t>Running Total</t>
  </si>
  <si>
    <t>% Placed</t>
  </si>
  <si>
    <t xml:space="preserve"> Month</t>
  </si>
  <si>
    <t>Total Students</t>
  </si>
  <si>
    <t>2025-08 or before</t>
  </si>
  <si>
    <t>2024-08 or before</t>
  </si>
  <si>
    <t>2023-08 or before</t>
  </si>
  <si>
    <t>2022-08 or before</t>
  </si>
  <si>
    <t>2021-08 or before</t>
  </si>
  <si>
    <t>2020-08 or before</t>
  </si>
  <si>
    <t>2025-09</t>
  </si>
  <si>
    <t>2024-09</t>
  </si>
  <si>
    <t>2023-09</t>
  </si>
  <si>
    <t>2022-09</t>
  </si>
  <si>
    <t>2021-09</t>
  </si>
  <si>
    <t>2020-09</t>
  </si>
  <si>
    <t>2025-10</t>
  </si>
  <si>
    <t>2024-10</t>
  </si>
  <si>
    <t>2023-10</t>
  </si>
  <si>
    <t>2022-10</t>
  </si>
  <si>
    <t>2021-10</t>
  </si>
  <si>
    <t>2020-10</t>
  </si>
  <si>
    <t>2025-11</t>
  </si>
  <si>
    <t>2024-11</t>
  </si>
  <si>
    <t>2023-11</t>
  </si>
  <si>
    <t>2022-11</t>
  </si>
  <si>
    <t>2021-11</t>
  </si>
  <si>
    <t>2020-11</t>
  </si>
  <si>
    <t>2025-12</t>
  </si>
  <si>
    <t>2024-12</t>
  </si>
  <si>
    <t>2023-12</t>
  </si>
  <si>
    <t>2022-12</t>
  </si>
  <si>
    <t>2021-12</t>
  </si>
  <si>
    <t>2020-12</t>
  </si>
  <si>
    <t>2026-01</t>
  </si>
  <si>
    <t>2025-01</t>
  </si>
  <si>
    <t>2024-01</t>
  </si>
  <si>
    <t>2023-01</t>
  </si>
  <si>
    <t>2022-01</t>
  </si>
  <si>
    <t>2021-01</t>
  </si>
  <si>
    <t>2026-02</t>
  </si>
  <si>
    <t>2025-02</t>
  </si>
  <si>
    <t>2024-02</t>
  </si>
  <si>
    <t>2023-02</t>
  </si>
  <si>
    <t>2022-02</t>
  </si>
  <si>
    <t>2021-02</t>
  </si>
  <si>
    <t>2026-03</t>
  </si>
  <si>
    <t>2025-03</t>
  </si>
  <si>
    <t>2024-03</t>
  </si>
  <si>
    <t>2023-03</t>
  </si>
  <si>
    <t>2022-03</t>
  </si>
  <si>
    <t>2021-03</t>
  </si>
  <si>
    <t>2026-04</t>
  </si>
  <si>
    <t>2025-04</t>
  </si>
  <si>
    <t>2024-04</t>
  </si>
  <si>
    <t>2023-04</t>
  </si>
  <si>
    <t>2022-04</t>
  </si>
  <si>
    <t>2021-04</t>
  </si>
  <si>
    <t>2026-05</t>
  </si>
  <si>
    <t>2025-05</t>
  </si>
  <si>
    <t>2024-05</t>
  </si>
  <si>
    <t>2023-05</t>
  </si>
  <si>
    <t>2022-05</t>
  </si>
  <si>
    <t>2021-05</t>
  </si>
  <si>
    <t>2026-06</t>
  </si>
  <si>
    <t>2025-06</t>
  </si>
  <si>
    <t>2024-06</t>
  </si>
  <si>
    <t>2023-06</t>
  </si>
  <si>
    <t>2022-06</t>
  </si>
  <si>
    <t>2021-06</t>
  </si>
  <si>
    <t>2026-07</t>
  </si>
  <si>
    <t>2025-07</t>
  </si>
  <si>
    <t>2024-07</t>
  </si>
  <si>
    <t>2023-07</t>
  </si>
  <si>
    <t>2022-07</t>
  </si>
  <si>
    <t>2021-07</t>
  </si>
  <si>
    <t>2026-08</t>
  </si>
  <si>
    <t>2025-08</t>
  </si>
  <si>
    <t>2024-08</t>
  </si>
  <si>
    <t>2023-08</t>
  </si>
  <si>
    <t>2022-08</t>
  </si>
  <si>
    <t>2021-08</t>
  </si>
  <si>
    <t>2026-09</t>
  </si>
  <si>
    <t>2026-10 past cutoff</t>
  </si>
  <si>
    <t>2025-10 past cutoff</t>
  </si>
  <si>
    <t>2024-10 past cutoff</t>
  </si>
  <si>
    <t>2023-10 past cutoff</t>
  </si>
  <si>
    <t>2022-10 past cutoff</t>
  </si>
  <si>
    <t>2021-10 past cutoff</t>
  </si>
  <si>
    <t>Total Pre-Cutoff</t>
  </si>
  <si>
    <t>Seeking Class</t>
  </si>
  <si>
    <t>2026 MSB Weekly Placement</t>
  </si>
  <si>
    <t>Placement</t>
  </si>
  <si>
    <t>10/13/2025</t>
  </si>
  <si>
    <t>10/17/2025</t>
  </si>
  <si>
    <t>10/24/2025</t>
  </si>
  <si>
    <t>10/31/2025</t>
  </si>
  <si>
    <t>11/7/2025</t>
  </si>
  <si>
    <t>11/14/2025</t>
  </si>
  <si>
    <t>11/21/2025</t>
  </si>
  <si>
    <t>11/28/2025</t>
  </si>
  <si>
    <t>12/5/2025</t>
  </si>
  <si>
    <t>12/12/2025</t>
  </si>
  <si>
    <t>12/19/2025</t>
  </si>
  <si>
    <t>12/26/2025</t>
  </si>
  <si>
    <t>1/2/2026</t>
  </si>
  <si>
    <t>1/9/2026</t>
  </si>
  <si>
    <t>1/16/2026</t>
  </si>
  <si>
    <t>1/23/2026</t>
  </si>
  <si>
    <t>1/30/2026</t>
  </si>
  <si>
    <t>2/6/2026</t>
  </si>
  <si>
    <t>2/13/2026</t>
  </si>
  <si>
    <t>2/20/2026</t>
  </si>
  <si>
    <t>2/27/2026</t>
  </si>
  <si>
    <t>3/13/2026</t>
  </si>
  <si>
    <t>3/20/2026</t>
  </si>
  <si>
    <t>3/27/2026</t>
  </si>
  <si>
    <t>Job Search Status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</si>
  <si>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</si>
  <si>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</si>
  <si>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</si>
  <si>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</si>
  <si>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</si>
  <si>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</si>
  <si>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</si>
  <si>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</si>
  <si>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</si>
  <si>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</si>
  <si>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</si>
  <si>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BSAcc</t>
  </si>
  <si>
    <t>-</t>
  </si>
  <si>
    <t>BSEDM</t>
  </si>
  <si>
    <t>BSEnt</t>
  </si>
  <si>
    <t>BSFin</t>
  </si>
  <si>
    <t>BSGSCM</t>
  </si>
  <si>
    <t>BSHRM</t>
  </si>
  <si>
    <t>BSIS</t>
  </si>
  <si>
    <t>BSBusM</t>
  </si>
  <si>
    <t>BSMktg</t>
  </si>
  <si>
    <t>BSStrat</t>
  </si>
  <si>
    <t>MAcc</t>
  </si>
  <si>
    <t>MBA</t>
  </si>
  <si>
    <t>MISM</t>
  </si>
  <si>
    <t>MPA</t>
  </si>
  <si>
    <t>Weekly: MSB (All Programs) Class of 2026 Placement</t>
  </si>
  <si>
    <t>Monthly: MSB (All Programs) Historical Placement Comparison</t>
  </si>
  <si>
    <t>Placement % Comparison Table</t>
  </si>
  <si>
    <t>Month</t>
  </si>
  <si>
    <t>2026</t>
  </si>
  <si>
    <t>2025</t>
  </si>
  <si>
    <t>2024</t>
  </si>
  <si>
    <t>2023</t>
  </si>
  <si>
    <t>2022</t>
  </si>
  <si>
    <t>2021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</si>
  <si>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</si>
  <si>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</si>
  <si>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</si>
  <si>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</si>
  <si>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</si>
  <si>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</si>
  <si>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</si>
  <si>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</si>
  <si>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</si>
  <si>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</si>
  <si>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</si>
  <si>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</si>
  <si>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August</t>
  </si>
  <si>
    <t>September</t>
  </si>
  <si>
    <t>Weekly: BSAcc Class of 2026 Placement</t>
  </si>
  <si>
    <t>Monthly: BSAcc Historical Placement Comparison</t>
  </si>
  <si>
    <t>Weekly: BSEDM Class of 2026 Placement</t>
  </si>
  <si>
    <t>Monthly: BSEDM Historical Placement Comparison</t>
  </si>
  <si>
    <t>Weekly: BSEnt Class of 2026 Placement</t>
  </si>
  <si>
    <t>Monthly: BSEnt Historical Placement Comparison</t>
  </si>
  <si>
    <t>Weekly: BSFin Class of 2026 Placement</t>
  </si>
  <si>
    <t>Monthly: BSFin Historical Placement Comparison</t>
  </si>
  <si>
    <t>Weekly: BSGSCM Class of 2026 Placement</t>
  </si>
  <si>
    <t>Monthly: BSGSCM Historical Placement Comparison</t>
  </si>
  <si>
    <t>Weekly: BSHRM Class of 2026 Placement</t>
  </si>
  <si>
    <t>Monthly: BSHRM Historical Placement Comparison</t>
  </si>
  <si>
    <t>Weekly: BSIS Class of 2026 Placement</t>
  </si>
  <si>
    <t>Monthly: BSIS Historical Placement Comparison</t>
  </si>
  <si>
    <t>Weekly: BSBusM Class of 2026 Placement</t>
  </si>
  <si>
    <t>Monthly: BSBusM Historical Placement Comparison</t>
  </si>
  <si>
    <t>Weekly: BSMktg Class of 2026 Placement</t>
  </si>
  <si>
    <t>Monthly: BSMktg Historical Placement Comparison</t>
  </si>
  <si>
    <t>Weekly: BSStrat Class of 2026 Placement</t>
  </si>
  <si>
    <t>Monthly: BSStrat Historical Placement Comparison</t>
  </si>
  <si>
    <t>Weekly: MAcc Class of 2026 Placement</t>
  </si>
  <si>
    <t>Monthly: MAcc Historical Placement Comparison</t>
  </si>
  <si>
    <t>Weekly: MBA Class of 2026 Placement</t>
  </si>
  <si>
    <t>Monthly: MBA Historical Placement Comparison</t>
  </si>
  <si>
    <t>Weekly: MISM Class of 2026 Placement</t>
  </si>
  <si>
    <t>Monthly: MISM Historical Placement Comparison</t>
  </si>
  <si>
    <t>Weekly: MPA Class of 2026 Placement</t>
  </si>
  <si>
    <t>Monthly: MPA Historical Placement Comparison</t>
  </si>
  <si>
    <t>4/3/2026</t>
  </si>
  <si>
    <t>4/10/2026</t>
  </si>
  <si>
    <t>4/17/2026</t>
  </si>
  <si>
    <t>4/24/2026</t>
  </si>
  <si>
    <t>NOTE: Placement % is measured at the END of each month</t>
  </si>
  <si>
    <t>5/1/2026</t>
  </si>
  <si>
    <t>5/8/2026</t>
  </si>
  <si>
    <t>5/15/2026</t>
  </si>
  <si>
    <t>5/22/2026</t>
  </si>
  <si>
    <t>05/29/2026</t>
  </si>
  <si>
    <t>6/5/2026</t>
  </si>
  <si>
    <t>6/12/2026</t>
  </si>
  <si>
    <t>6/19/2026</t>
  </si>
  <si>
    <t>6/26/2026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</si>
</sst>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C0E7F5"/>
        <bgColor indexed="64"/>
      </patternFill>
    </fill>
    <fill>
      <patternFill patternType="solid">
        <fgColor rgb="FFC0E7F5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2CCEC"/>
        <bgColor indexed="64"/>
      </patternFill>
    </fill>
    <fill>
      <patternFill patternType="solid">
        <fgColor rgb="FFF48968"/>
        <bgColor indexed="64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15608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3" fillId="0" borderId="0" xfId="0" applyFont="1"/>
    <xf numFmtId="14" fontId="3" fillId="0" borderId="0" xfId="0" applyNumberFormat="1" applyFont="1"/>
    <xf numFmtId="10" fontId="4" fillId="0" borderId="0" xfId="0" applyNumberFormat="1" applyFont="1"/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10" fontId="2" fillId="0" borderId="5" xfId="0" applyNumberFormat="1" applyFont="1" applyBorder="1"/>
    <xf numFmtId="0" fontId="2" fillId="0" borderId="7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10" fontId="2" fillId="2" borderId="0" xfId="0" applyNumberFormat="1" applyFont="1" applyFill="1" applyAlignment="1">
      <alignment horizontal="right"/>
    </xf>
    <xf numFmtId="37" fontId="2" fillId="0" borderId="0" xfId="2" applyNumberFormat="1" applyFont="1" applyFill="1"/>
    <xf numFmtId="37" fontId="2" fillId="0" borderId="0" xfId="2" applyNumberFormat="1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0" fontId="0" fillId="3" borderId="8" xfId="1" applyNumberFormat="1" applyFont="1" applyFill="1" applyBorder="1"/>
    <xf numFmtId="10" fontId="7" fillId="5" borderId="8" xfId="0" applyNumberFormat="1" applyFont="1" applyFill="1" applyBorder="1" applyAlignment="1">
      <alignment horizontal="center"/>
    </xf>
    <xf numFmtId="10" fontId="7" fillId="7" borderId="8" xfId="0" applyNumberFormat="1" applyFont="1" applyFill="1" applyBorder="1" applyAlignment="1">
      <alignment horizontal="center"/>
    </xf>
    <xf numFmtId="10" fontId="7" fillId="9" borderId="8" xfId="0" applyNumberFormat="1" applyFont="1" applyFill="1" applyBorder="1" applyAlignment="1">
      <alignment horizontal="center"/>
    </xf>
    <xf numFmtId="10" fontId="7" fillId="11" borderId="8" xfId="0" applyNumberFormat="1" applyFont="1" applyFill="1" applyBorder="1" applyAlignment="1">
      <alignment horizontal="center"/>
    </xf>
    <xf numFmtId="10" fontId="0" fillId="3" borderId="9" xfId="1" applyNumberFormat="1" applyFont="1" applyFill="1" applyBorder="1"/>
    <xf numFmtId="10" fontId="7" fillId="4" borderId="9" xfId="0" applyNumberFormat="1" applyFont="1" applyFill="1" applyBorder="1" applyAlignment="1">
      <alignment horizontal="center"/>
    </xf>
    <xf numFmtId="10" fontId="7" fillId="6" borderId="9" xfId="0" applyNumberFormat="1" applyFont="1" applyFill="1" applyBorder="1" applyAlignment="1">
      <alignment horizontal="center"/>
    </xf>
    <xf numFmtId="10" fontId="7" fillId="8" borderId="9" xfId="0" applyNumberFormat="1" applyFont="1" applyFill="1" applyBorder="1" applyAlignment="1">
      <alignment horizontal="center"/>
    </xf>
    <xf numFmtId="10" fontId="7" fillId="10" borderId="9" xfId="0" applyNumberFormat="1" applyFont="1" applyFill="1" applyBorder="1" applyAlignment="1">
      <alignment horizontal="center"/>
    </xf>
    <xf numFmtId="10" fontId="7" fillId="5" borderId="9" xfId="0" applyNumberFormat="1" applyFont="1" applyFill="1" applyBorder="1" applyAlignment="1">
      <alignment horizontal="center"/>
    </xf>
    <xf numFmtId="10" fontId="7" fillId="7" borderId="9" xfId="0" applyNumberFormat="1" applyFont="1" applyFill="1" applyBorder="1" applyAlignment="1">
      <alignment horizontal="center"/>
    </xf>
    <xf numFmtId="10" fontId="7" fillId="9" borderId="9" xfId="0" applyNumberFormat="1" applyFont="1" applyFill="1" applyBorder="1" applyAlignment="1">
      <alignment horizontal="center"/>
    </xf>
    <xf numFmtId="10" fontId="7" fillId="11" borderId="9" xfId="0" applyNumberFormat="1" applyFont="1" applyFill="1" applyBorder="1" applyAlignment="1">
      <alignment horizontal="center"/>
    </xf>
    <xf numFmtId="10" fontId="2" fillId="3" borderId="9" xfId="0" applyNumberFormat="1" applyFont="1" applyFill="1" applyBorder="1"/>
    <xf numFmtId="0" fontId="12" fillId="0" borderId="0" xfId="0" applyFont="1"/>
    <xf numFmtId="0" fontId="13" fillId="0" borderId="0" xfId="0" applyFont="1"/>
    <xf numFmtId="0" fontId="0" fillId="3" borderId="0" xfId="0" applyFill="1" applyAlignment="1">
      <alignment horizontal="left"/>
    </xf>
    <xf numFmtId="0" fontId="8" fillId="4" borderId="0" xfId="0" applyFont="1" applyFill="1" applyAlignment="1">
      <alignment horizontal="left"/>
    </xf>
    <xf numFmtId="0" fontId="0" fillId="6" borderId="0" xfId="0" applyFill="1"/>
    <xf numFmtId="0" fontId="0" fillId="8" borderId="0" xfId="0" applyFill="1"/>
    <xf numFmtId="0" fontId="0" fillId="10" borderId="0" xfId="0" applyFill="1"/>
    <xf numFmtId="0" fontId="0" fillId="0" borderId="10" xfId="0" applyBorder="1"/>
    <xf numFmtId="0" fontId="1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12" borderId="14" xfId="0" applyFill="1" applyBorder="1"/>
    <xf numFmtId="0" fontId="0" fillId="0" borderId="15" xfId="0" applyBorder="1"/>
    <xf numFmtId="10" fontId="7" fillId="13" borderId="16" xfId="0" applyNumberFormat="1" applyFont="1" applyFill="1" applyBorder="1" applyAlignment="1">
      <alignment horizontal="center"/>
    </xf>
    <xf numFmtId="0" fontId="0" fillId="0" borderId="17" xfId="0" applyBorder="1"/>
    <xf numFmtId="10" fontId="7" fillId="12" borderId="18" xfId="0" applyNumberFormat="1" applyFont="1" applyFill="1" applyBorder="1" applyAlignment="1">
      <alignment horizontal="center"/>
    </xf>
    <xf numFmtId="10" fontId="7" fillId="13" borderId="18" xfId="0" applyNumberFormat="1" applyFont="1" applyFill="1" applyBorder="1" applyAlignment="1">
      <alignment horizontal="center"/>
    </xf>
    <xf numFmtId="1" fontId="2" fillId="0" borderId="0" xfId="2" applyNumberFormat="1" applyFont="1" applyFill="1"/>
    <xf numFmtId="1" fontId="2" fillId="0" borderId="0" xfId="2" applyNumberFormat="1" applyFont="1" applyFill="1" applyBorder="1"/>
    <xf numFmtId="2" fontId="0" fillId="0" borderId="0" xfId="0" applyNumberFormat="1"/>
    <xf numFmtId="0" fontId="2" fillId="0" borderId="0" xfId="2" applyNumberFormat="1" applyFont="1" applyFill="1"/>
    <xf numFmtId="0" fontId="2" fillId="0" borderId="0" xfId="2" applyNumberFormat="1" applyFont="1" applyFill="1" applyBorder="1"/>
    <xf numFmtId="10" fontId="0" fillId="0" borderId="0" xfId="0" applyNumberFormat="1"/>
    <xf numFmtId="1" fontId="2" fillId="0" borderId="0" xfId="0" applyNumberFormat="1" applyFont="1"/>
    <xf numFmtId="164" fontId="3" fillId="0" borderId="0" xfId="0" applyNumberFormat="1" applyFont="1"/>
    <xf numFmtId="10" fontId="2" fillId="14" borderId="0" xfId="0" applyNumberFormat="1" applyFont="1" applyFill="1"/>
    <xf numFmtId="10" fontId="2" fillId="15" borderId="0" xfId="0" applyNumberFormat="1" applyFont="1" applyFill="1"/>
    <xf numFmtId="10" fontId="2" fillId="15" borderId="0" xfId="0" applyNumberFormat="1" applyFont="1" applyFill="1" applyAlignment="1">
      <alignment horizontal="right"/>
    </xf>
    <xf numFmtId="164" fontId="3" fillId="0" borderId="20" xfId="0" applyNumberFormat="1" applyFont="1" applyBorder="1"/>
    <xf numFmtId="10" fontId="0" fillId="0" borderId="21" xfId="0" applyNumberFormat="1" applyBorder="1" applyAlignment="1">
      <alignment horizontal="right"/>
    </xf>
    <xf numFmtId="10" fontId="0" fillId="16" borderId="19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64" fontId="3" fillId="0" borderId="22" xfId="0" applyNumberFormat="1" applyFont="1" applyBorder="1"/>
    <xf numFmtId="10" fontId="0" fillId="17" borderId="9" xfId="1" applyNumberFormat="1" applyFont="1" applyFill="1" applyBorder="1"/>
    <xf numFmtId="10" fontId="0" fillId="0" borderId="0" xfId="1" applyNumberFormat="1" applyFont="1" applyAlignment="1">
      <alignment horizontal="right"/>
    </xf>
    <xf numFmtId="14" fontId="0" fillId="0" borderId="0" xfId="0" applyNumberFormat="1"/>
    <xf numFmtId="10" fontId="0" fillId="18" borderId="9" xfId="1" applyNumberFormat="1" applyFont="1" applyFill="1" applyBorder="1"/>
    <xf numFmtId="10" fontId="0" fillId="0" borderId="0" xfId="1" applyNumberFormat="1" applyFont="1" applyFill="1" applyAlignment="1">
      <alignment horizontal="right"/>
    </xf>
    <xf numFmtId="10" fontId="0" fillId="0" borderId="23" xfId="0" applyNumberFormat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1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DCE6F1"/>
          <bgColor rgb="FFC0E7F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5" formatCode="#,##0_);\(#,##0\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ill>
        <patternFill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8968"/>
      <color rgb="FF82CCEC"/>
      <color rgb="FFFF8171"/>
      <color rgb="FFFE8171"/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</a:t>
            </a:r>
            <a:r>
              <a:rPr lang="en-US" baseline="0"/>
              <a:t> Placement Trend</a:t>
            </a:r>
            <a:endParaRPr lang="en-US"/>
          </a:p>
        </c:rich>
      </c:tx>
      <c:layout>
        <c:manualLayout>
          <c:xMode val="edge"/>
          <c:yMode val="edge"/>
          <c:x val="4.8943994067928077E-2"/>
          <c:y val="2.4799441475918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NittyGrittySheet!$B$23:$I$23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NittyGrittySheet!$B$24:$I$24</c:f>
              <c:numCache>
                <c:formatCode>0.00%</c:formatCode>
                <c:ptCount val="8"/>
                <c:pt idx="0">
                  <c:v>0.1107</c:v>
                </c:pt>
                <c:pt idx="1">
                  <c:v>0.092</c:v>
                </c:pt>
                <c:pt idx="2">
                  <c:v>0.0935</c:v>
                </c:pt>
                <c:pt idx="3">
                  <c:v>0.0935</c:v>
                </c:pt>
                <c:pt idx="4">
                  <c:v>0.0941</c:v>
                </c:pt>
                <c:pt idx="5">
                  <c:v>0.0951</c:v>
                </c:pt>
                <c:pt idx="6">
                  <c:v>0.1047</c:v>
                </c:pt>
                <c:pt idx="7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6CF-A272-E573FDA4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</a:t>
                </a:r>
                <a:r>
                  <a:rPr lang="en-US" baseline="0"/>
                  <a:t>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 Search Status</a:t>
            </a:r>
          </a:p>
        </c:rich>
      </c:tx>
      <c:layout>
        <c:manualLayout>
          <c:xMode val="edge"/>
          <c:yMode val="edge"/>
          <c:x val="4.6520703534140041E-2"/>
          <c:y val="2.4517868312781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NittyGrittySheet!$B$27:$I$27</c:f>
              <c:numCache>
                <c:formatCode>General</c:formatCode>
                <c:ptCount val="8"/>
                <c:pt idx="0">
                  <c:v>223.0</c:v>
                </c:pt>
                <c:pt idx="1">
                  <c:v>178.0</c:v>
                </c:pt>
                <c:pt idx="2">
                  <c:v>181.0</c:v>
                </c:pt>
                <c:pt idx="3">
                  <c:v>181.0</c:v>
                </c:pt>
                <c:pt idx="4">
                  <c:v>182.0</c:v>
                </c:pt>
                <c:pt idx="5">
                  <c:v>184.0</c:v>
                </c:pt>
                <c:pt idx="6">
                  <c:v>202.0</c:v>
                </c:pt>
                <c:pt idx="7">
                  <c:v>206.0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D-4E8E-89F5-6A5410A4160E}"/>
            </c:ext>
          </c:extLst>
        </c:ser>
        <c:ser>
          <c:idx val="1"/>
          <c:order val="1"/>
          <c:tx>
            <c:strRef>
              <c:f>NittyGrittySheet!$A$28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NittyGrittySheet!$B$28:$I$28</c:f>
              <c:numCache>
                <c:formatCode>General</c:formatCode>
                <c:ptCount val="8"/>
                <c:pt idx="0">
                  <c:v>935.0</c:v>
                </c:pt>
                <c:pt idx="1">
                  <c:v>916.0</c:v>
                </c:pt>
                <c:pt idx="2">
                  <c:v>916.0</c:v>
                </c:pt>
                <c:pt idx="3">
                  <c:v>919.0</c:v>
                </c:pt>
                <c:pt idx="4">
                  <c:v>923.0</c:v>
                </c:pt>
                <c:pt idx="5">
                  <c:v>986.0</c:v>
                </c:pt>
                <c:pt idx="6">
                  <c:v>988.0</c:v>
                </c:pt>
                <c:pt idx="7">
                  <c:v>984.0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D-4E8E-89F5-6A5410A4160E}"/>
            </c:ext>
          </c:extLst>
        </c:ser>
        <c:ser>
          <c:idx val="3"/>
          <c:order val="3"/>
          <c:tx>
            <c:strRef>
              <c:f>NittyGrittySheet!$A$30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NittyGrittySheet!$B$30:$I$30</c:f>
              <c:numCache>
                <c:formatCode>General</c:formatCode>
                <c:ptCount val="8"/>
                <c:pt idx="0">
                  <c:v>856.0</c:v>
                </c:pt>
                <c:pt idx="1">
                  <c:v>840.0</c:v>
                </c:pt>
                <c:pt idx="2">
                  <c:v>838.0</c:v>
                </c:pt>
                <c:pt idx="3">
                  <c:v>836.0</c:v>
                </c:pt>
                <c:pt idx="4">
                  <c:v>830.0</c:v>
                </c:pt>
                <c:pt idx="5">
                  <c:v>764.0</c:v>
                </c:pt>
                <c:pt idx="6">
                  <c:v>740.0</c:v>
                </c:pt>
                <c:pt idx="7">
                  <c:v>737.0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D-4E8E-89F5-6A5410A4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NittyGrittySheet!$B$29:$AL$29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 formatCode="#,##0_);\(#,##0\)">
                        <c:v>2</c:v>
                      </c:pt>
                      <c:pt idx="16" formatCode="0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7</c:v>
                      </c:pt>
                      <c:pt idx="25" formatCode="0">
                        <c:v>7</c:v>
                      </c:pt>
                      <c:pt idx="26" formatCode="0">
                        <c:v>7</c:v>
                      </c:pt>
                      <c:pt idx="27" formatCode="0">
                        <c:v>6</c:v>
                      </c:pt>
                      <c:pt idx="28" formatCode="0">
                        <c:v>7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9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52D-4E8E-89F5-6A5410A416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NittyGrittySheet!$B$31:$AL$31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64</c:v>
                      </c:pt>
                      <c:pt idx="4">
                        <c:v>66</c:v>
                      </c:pt>
                      <c:pt idx="5">
                        <c:v>66</c:v>
                      </c:pt>
                      <c:pt idx="6">
                        <c:v>69</c:v>
                      </c:pt>
                      <c:pt idx="7">
                        <c:v>69</c:v>
                      </c:pt>
                      <c:pt idx="8">
                        <c:v>76</c:v>
                      </c:pt>
                      <c:pt idx="9">
                        <c:v>81</c:v>
                      </c:pt>
                      <c:pt idx="10">
                        <c:v>80</c:v>
                      </c:pt>
                      <c:pt idx="11">
                        <c:v>79</c:v>
                      </c:pt>
                      <c:pt idx="12">
                        <c:v>87</c:v>
                      </c:pt>
                      <c:pt idx="13">
                        <c:v>87</c:v>
                      </c:pt>
                      <c:pt idx="14">
                        <c:v>89</c:v>
                      </c:pt>
                      <c:pt idx="15" formatCode="#,##0_);\(#,##0\)">
                        <c:v>93</c:v>
                      </c:pt>
                      <c:pt idx="16" formatCode="0">
                        <c:v>94</c:v>
                      </c:pt>
                      <c:pt idx="17">
                        <c:v>94</c:v>
                      </c:pt>
                      <c:pt idx="18">
                        <c:v>98</c:v>
                      </c:pt>
                      <c:pt idx="19">
                        <c:v>100</c:v>
                      </c:pt>
                      <c:pt idx="20">
                        <c:v>101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113</c:v>
                      </c:pt>
                      <c:pt idx="24">
                        <c:v>119</c:v>
                      </c:pt>
                      <c:pt idx="25" formatCode="0">
                        <c:v>119</c:v>
                      </c:pt>
                      <c:pt idx="26" formatCode="0">
                        <c:v>119</c:v>
                      </c:pt>
                      <c:pt idx="27" formatCode="0">
                        <c:v>119</c:v>
                      </c:pt>
                      <c:pt idx="28" formatCode="0">
                        <c:v>121</c:v>
                      </c:pt>
                      <c:pt idx="29">
                        <c:v>121</c:v>
                      </c:pt>
                      <c:pt idx="30">
                        <c:v>120</c:v>
                      </c:pt>
                      <c:pt idx="31">
                        <c:v>119</c:v>
                      </c:pt>
                      <c:pt idx="32">
                        <c:v>120</c:v>
                      </c:pt>
                      <c:pt idx="33">
                        <c:v>124</c:v>
                      </c:pt>
                      <c:pt idx="34">
                        <c:v>118</c:v>
                      </c:pt>
                      <c:pt idx="35">
                        <c:v>116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D-4E8E-89F5-6A5410A41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NittyGrittySheet!$B$32:$AL$32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 formatCode="#,##0_);\(#,##0\)">
                        <c:v>16</c:v>
                      </c:pt>
                      <c:pt idx="16" formatCode="0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 formatCode="0">
                        <c:v>22</c:v>
                      </c:pt>
                      <c:pt idx="26" formatCode="0">
                        <c:v>22</c:v>
                      </c:pt>
                      <c:pt idx="27" formatCode="0">
                        <c:v>22</c:v>
                      </c:pt>
                      <c:pt idx="28" formatCode="0">
                        <c:v>22</c:v>
                      </c:pt>
                      <c:pt idx="29">
                        <c:v>22</c:v>
                      </c:pt>
                      <c:pt idx="30">
                        <c:v>22</c:v>
                      </c:pt>
                      <c:pt idx="31">
                        <c:v>22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24</c:v>
                      </c:pt>
                      <c:pt idx="35">
                        <c:v>23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D-4E8E-89F5-6A5410A416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NittyGrittySheet!$B$33:$AL$33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29</c:v>
                      </c:pt>
                      <c:pt idx="1">
                        <c:v>29</c:v>
                      </c:pt>
                      <c:pt idx="2">
                        <c:v>28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35</c:v>
                      </c:pt>
                      <c:pt idx="15" formatCode="#,##0_);\(#,##0\)">
                        <c:v>35</c:v>
                      </c:pt>
                      <c:pt idx="16" formatCode="0">
                        <c:v>38</c:v>
                      </c:pt>
                      <c:pt idx="17">
                        <c:v>40</c:v>
                      </c:pt>
                      <c:pt idx="18">
                        <c:v>44</c:v>
                      </c:pt>
                      <c:pt idx="19">
                        <c:v>45</c:v>
                      </c:pt>
                      <c:pt idx="20">
                        <c:v>46</c:v>
                      </c:pt>
                      <c:pt idx="21">
                        <c:v>48</c:v>
                      </c:pt>
                      <c:pt idx="22">
                        <c:v>52</c:v>
                      </c:pt>
                      <c:pt idx="23">
                        <c:v>65</c:v>
                      </c:pt>
                      <c:pt idx="24">
                        <c:v>79</c:v>
                      </c:pt>
                      <c:pt idx="25" formatCode="0">
                        <c:v>77</c:v>
                      </c:pt>
                      <c:pt idx="26" formatCode="0">
                        <c:v>91</c:v>
                      </c:pt>
                      <c:pt idx="27" formatCode="0">
                        <c:v>91</c:v>
                      </c:pt>
                      <c:pt idx="28" formatCode="0">
                        <c:v>94</c:v>
                      </c:pt>
                      <c:pt idx="29">
                        <c:v>93</c:v>
                      </c:pt>
                      <c:pt idx="30">
                        <c:v>93</c:v>
                      </c:pt>
                      <c:pt idx="31">
                        <c:v>96</c:v>
                      </c:pt>
                      <c:pt idx="32">
                        <c:v>98</c:v>
                      </c:pt>
                      <c:pt idx="33">
                        <c:v>102</c:v>
                      </c:pt>
                      <c:pt idx="34">
                        <c:v>101</c:v>
                      </c:pt>
                      <c:pt idx="35">
                        <c:v>97</c:v>
                      </c:pt>
                      <c:pt idx="36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D-4E8E-89F5-6A5410A41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NittyGrittySheet!$B$34:$AL$34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 formatCode="#,##0_);\(#,##0\)">
                        <c:v>17</c:v>
                      </c:pt>
                      <c:pt idx="16" formatCode="0">
                        <c:v>16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23</c:v>
                      </c:pt>
                      <c:pt idx="25" formatCode="0">
                        <c:v>29</c:v>
                      </c:pt>
                      <c:pt idx="26" formatCode="0">
                        <c:v>33</c:v>
                      </c:pt>
                      <c:pt idx="27" formatCode="0">
                        <c:v>35</c:v>
                      </c:pt>
                      <c:pt idx="28" formatCode="0">
                        <c:v>36</c:v>
                      </c:pt>
                      <c:pt idx="29">
                        <c:v>49</c:v>
                      </c:pt>
                      <c:pt idx="30">
                        <c:v>50</c:v>
                      </c:pt>
                      <c:pt idx="31">
                        <c:v>53</c:v>
                      </c:pt>
                      <c:pt idx="32">
                        <c:v>57</c:v>
                      </c:pt>
                      <c:pt idx="33">
                        <c:v>60</c:v>
                      </c:pt>
                      <c:pt idx="34">
                        <c:v>59</c:v>
                      </c:pt>
                      <c:pt idx="35">
                        <c:v>59</c:v>
                      </c:pt>
                      <c:pt idx="36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D-4E8E-89F5-6A5410A416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NittyGrittySheet!$B$35:$AL$35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 formatCode="#,##0_);\(#,##0\)">
                        <c:v>8</c:v>
                      </c:pt>
                      <c:pt idx="16" formatCode="0">
                        <c:v>7</c:v>
                      </c:pt>
                      <c:pt idx="17">
                        <c:v>7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 formatCode="0">
                        <c:v>9</c:v>
                      </c:pt>
                      <c:pt idx="26" formatCode="0">
                        <c:v>9</c:v>
                      </c:pt>
                      <c:pt idx="27" formatCode="0">
                        <c:v>8</c:v>
                      </c:pt>
                      <c:pt idx="28" formatCode="0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8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2D-4E8E-89F5-6A5410A416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NittyGrittySheet!$B$36:$AL$36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57</c:v>
                      </c:pt>
                      <c:pt idx="1">
                        <c:v>58</c:v>
                      </c:pt>
                      <c:pt idx="2">
                        <c:v>59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61</c:v>
                      </c:pt>
                      <c:pt idx="6">
                        <c:v>69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78</c:v>
                      </c:pt>
                      <c:pt idx="11">
                        <c:v>77</c:v>
                      </c:pt>
                      <c:pt idx="12">
                        <c:v>77</c:v>
                      </c:pt>
                      <c:pt idx="13">
                        <c:v>79</c:v>
                      </c:pt>
                      <c:pt idx="14">
                        <c:v>79</c:v>
                      </c:pt>
                      <c:pt idx="15" formatCode="#,##0_);\(#,##0\)">
                        <c:v>79</c:v>
                      </c:pt>
                      <c:pt idx="16" formatCode="0">
                        <c:v>79</c:v>
                      </c:pt>
                      <c:pt idx="17">
                        <c:v>80</c:v>
                      </c:pt>
                      <c:pt idx="18">
                        <c:v>82</c:v>
                      </c:pt>
                      <c:pt idx="19">
                        <c:v>84</c:v>
                      </c:pt>
                      <c:pt idx="20">
                        <c:v>90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95</c:v>
                      </c:pt>
                      <c:pt idx="24">
                        <c:v>97</c:v>
                      </c:pt>
                      <c:pt idx="25" formatCode="0">
                        <c:v>101</c:v>
                      </c:pt>
                      <c:pt idx="26" formatCode="0">
                        <c:v>102</c:v>
                      </c:pt>
                      <c:pt idx="27" formatCode="0">
                        <c:v>102</c:v>
                      </c:pt>
                      <c:pt idx="28" formatCode="0">
                        <c:v>104</c:v>
                      </c:pt>
                      <c:pt idx="29">
                        <c:v>108</c:v>
                      </c:pt>
                      <c:pt idx="30">
                        <c:v>109</c:v>
                      </c:pt>
                      <c:pt idx="31">
                        <c:v>110</c:v>
                      </c:pt>
                      <c:pt idx="32">
                        <c:v>111</c:v>
                      </c:pt>
                      <c:pt idx="33">
                        <c:v>111</c:v>
                      </c:pt>
                      <c:pt idx="34">
                        <c:v>117</c:v>
                      </c:pt>
                      <c:pt idx="35">
                        <c:v>116</c:v>
                      </c:pt>
                      <c:pt idx="36">
                        <c:v>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2D-4E8E-89F5-6A5410A416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NittyGrittySheet!$B$37:$AL$37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1957</c:v>
                      </c:pt>
                      <c:pt idx="1">
                        <c:v>1953</c:v>
                      </c:pt>
                      <c:pt idx="2">
                        <c:v>1954</c:v>
                      </c:pt>
                      <c:pt idx="3">
                        <c:v>1954</c:v>
                      </c:pt>
                      <c:pt idx="4">
                        <c:v>1950</c:v>
                      </c:pt>
                      <c:pt idx="5">
                        <c:v>1926</c:v>
                      </c:pt>
                      <c:pt idx="6">
                        <c:v>1943</c:v>
                      </c:pt>
                      <c:pt idx="7">
                        <c:v>1939</c:v>
                      </c:pt>
                      <c:pt idx="8">
                        <c:v>1942</c:v>
                      </c:pt>
                      <c:pt idx="9">
                        <c:v>1960</c:v>
                      </c:pt>
                      <c:pt idx="10">
                        <c:v>1957</c:v>
                      </c:pt>
                      <c:pt idx="11">
                        <c:v>1958</c:v>
                      </c:pt>
                      <c:pt idx="12">
                        <c:v>1960</c:v>
                      </c:pt>
                      <c:pt idx="13">
                        <c:v>1964</c:v>
                      </c:pt>
                      <c:pt idx="14">
                        <c:v>1960</c:v>
                      </c:pt>
                      <c:pt idx="15" formatCode="#,##0_);\(#,##0\)">
                        <c:v>1955</c:v>
                      </c:pt>
                      <c:pt idx="16" formatCode="0">
                        <c:v>1945</c:v>
                      </c:pt>
                      <c:pt idx="17">
                        <c:v>1936</c:v>
                      </c:pt>
                      <c:pt idx="18">
                        <c:v>1923</c:v>
                      </c:pt>
                      <c:pt idx="19">
                        <c:v>1921</c:v>
                      </c:pt>
                      <c:pt idx="20">
                        <c:v>1917</c:v>
                      </c:pt>
                      <c:pt idx="21">
                        <c:v>1901</c:v>
                      </c:pt>
                      <c:pt idx="22">
                        <c:v>1895</c:v>
                      </c:pt>
                      <c:pt idx="23">
                        <c:v>1890</c:v>
                      </c:pt>
                      <c:pt idx="24">
                        <c:v>1880</c:v>
                      </c:pt>
                      <c:pt idx="25" formatCode="0">
                        <c:v>1862</c:v>
                      </c:pt>
                      <c:pt idx="26" formatCode="0">
                        <c:v>1858</c:v>
                      </c:pt>
                      <c:pt idx="27" formatCode="0">
                        <c:v>1838</c:v>
                      </c:pt>
                      <c:pt idx="28" formatCode="0">
                        <c:v>1842</c:v>
                      </c:pt>
                      <c:pt idx="29">
                        <c:v>1839</c:v>
                      </c:pt>
                      <c:pt idx="30">
                        <c:v>1818</c:v>
                      </c:pt>
                      <c:pt idx="31">
                        <c:v>1816</c:v>
                      </c:pt>
                      <c:pt idx="32">
                        <c:v>1806</c:v>
                      </c:pt>
                      <c:pt idx="33">
                        <c:v>1803</c:v>
                      </c:pt>
                      <c:pt idx="34">
                        <c:v>1778</c:v>
                      </c:pt>
                      <c:pt idx="35">
                        <c:v>1751</c:v>
                      </c:pt>
                      <c:pt idx="36">
                        <c:v>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D-4E8E-89F5-6A5410A4160E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3.2891971139590817E-2"/>
          <c:y val="1.97833147568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'MSB Full-Time Dashboard'!$O$24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Dashboard'!$O$25:$O$38</c:f>
              <c:numCache>
                <c:formatCode>0.00%</c:formatCode>
                <c:ptCount val="14"/>
                <c:pt idx="0">
                  <c:v>0.11078546307151231</c:v>
                </c:pt>
                <c:pt idx="1">
                  <c:v>0.15123094958968347</c:v>
                </c:pt>
                <c:pt idx="2">
                  <c:v>0.2441</c:v>
                </c:pt>
                <c:pt idx="3">
                  <c:v>0.2912</c:v>
                </c:pt>
                <c:pt idx="4">
                  <c:v>0.343</c:v>
                </c:pt>
                <c:pt idx="5">
                  <c:v>0.4462</c:v>
                </c:pt>
                <c:pt idx="6">
                  <c:v>0.5058</c:v>
                </c:pt>
                <c:pt idx="7">
                  <c:v>0.5941</c:v>
                </c:pt>
                <c:pt idx="8">
                  <c:v>0.7162999999999999</c:v>
                </c:pt>
                <c:pt idx="9">
                  <c:v>0.7974</c:v>
                </c:pt>
                <c:pt idx="10">
                  <c:v>0.8704999999999999</c:v>
                </c:pt>
                <c:pt idx="11">
                  <c:v>0.9411</c:v>
                </c:pt>
                <c:pt idx="12">
                  <c:v>0.9525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3DC-A317-BE30EA220632}"/>
            </c:ext>
          </c:extLst>
        </c:ser>
        <c:ser>
          <c:idx val="2"/>
          <c:order val="1"/>
          <c:tx>
            <c:strRef>
              <c:f>'MSB Full-Time Dashboard'!$P$24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Dashboard'!$P$25:$P$38</c:f>
              <c:numCache>
                <c:formatCode>0.00%</c:formatCode>
                <c:ptCount val="14"/>
                <c:pt idx="0">
                  <c:v>0.1017</c:v>
                </c:pt>
                <c:pt idx="1">
                  <c:v>0.1415</c:v>
                </c:pt>
                <c:pt idx="2">
                  <c:v>0.2136</c:v>
                </c:pt>
                <c:pt idx="3">
                  <c:v>0.2873</c:v>
                </c:pt>
                <c:pt idx="4">
                  <c:v>0.3169</c:v>
                </c:pt>
                <c:pt idx="5">
                  <c:v>0.4466</c:v>
                </c:pt>
                <c:pt idx="6">
                  <c:v>0.5246</c:v>
                </c:pt>
                <c:pt idx="7">
                  <c:v>0.6178</c:v>
                </c:pt>
                <c:pt idx="8">
                  <c:v>0.7059</c:v>
                </c:pt>
                <c:pt idx="9">
                  <c:v>0.7729</c:v>
                </c:pt>
                <c:pt idx="10">
                  <c:v>0.8229</c:v>
                </c:pt>
                <c:pt idx="11">
                  <c:v>0.8958</c:v>
                </c:pt>
                <c:pt idx="12">
                  <c:v>0.9314</c:v>
                </c:pt>
                <c:pt idx="13">
                  <c:v>0.9559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913-43DC-A317-BE30EA220632}"/>
            </c:ext>
          </c:extLst>
        </c:ser>
        <c:ser>
          <c:idx val="3"/>
          <c:order val="2"/>
          <c:tx>
            <c:strRef>
              <c:f>'MSB Full-Time Dashboard'!$Q$24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Dashboard'!$Q$25:$Q$38</c:f>
              <c:numCache>
                <c:formatCode>0.00%</c:formatCode>
                <c:ptCount val="14"/>
                <c:pt idx="0">
                  <c:v>0.12</c:v>
                </c:pt>
                <c:pt idx="1">
                  <c:v>0.1909</c:v>
                </c:pt>
                <c:pt idx="2">
                  <c:v>0.28</c:v>
                </c:pt>
                <c:pt idx="3">
                  <c:v>0.3273</c:v>
                </c:pt>
                <c:pt idx="4">
                  <c:v>0.3882</c:v>
                </c:pt>
                <c:pt idx="5">
                  <c:v>0.4836</c:v>
                </c:pt>
                <c:pt idx="6">
                  <c:v>0.5636</c:v>
                </c:pt>
                <c:pt idx="7">
                  <c:v>0.6418</c:v>
                </c:pt>
                <c:pt idx="8">
                  <c:v>0.7227</c:v>
                </c:pt>
                <c:pt idx="9">
                  <c:v>0.7718</c:v>
                </c:pt>
                <c:pt idx="10">
                  <c:v>0.8209</c:v>
                </c:pt>
                <c:pt idx="11">
                  <c:v>0.9309</c:v>
                </c:pt>
                <c:pt idx="12">
                  <c:v>0.9418</c:v>
                </c:pt>
                <c:pt idx="13">
                  <c:v>0.9436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13-43DC-A317-BE30EA220632}"/>
            </c:ext>
          </c:extLst>
        </c:ser>
        <c:ser>
          <c:idx val="4"/>
          <c:order val="3"/>
          <c:tx>
            <c:strRef>
              <c:f>'MSB Full-Time Dashboard'!$R$24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Dashboard'!$R$25:$R$38</c:f>
              <c:numCache>
                <c:formatCode>0.00%</c:formatCode>
                <c:ptCount val="14"/>
                <c:pt idx="0">
                  <c:v>0.086</c:v>
                </c:pt>
                <c:pt idx="1">
                  <c:v>0.1196</c:v>
                </c:pt>
                <c:pt idx="2">
                  <c:v>0.215</c:v>
                </c:pt>
                <c:pt idx="3">
                  <c:v>0.328</c:v>
                </c:pt>
                <c:pt idx="4">
                  <c:v>0.3598</c:v>
                </c:pt>
                <c:pt idx="5">
                  <c:v>0.4084</c:v>
                </c:pt>
                <c:pt idx="6">
                  <c:v>0.4682</c:v>
                </c:pt>
                <c:pt idx="7">
                  <c:v>0.6093</c:v>
                </c:pt>
                <c:pt idx="8">
                  <c:v>0.6841</c:v>
                </c:pt>
                <c:pt idx="9">
                  <c:v>0.8</c:v>
                </c:pt>
                <c:pt idx="10">
                  <c:v>0.8561</c:v>
                </c:pt>
                <c:pt idx="11">
                  <c:v>0.9206</c:v>
                </c:pt>
                <c:pt idx="12">
                  <c:v>0.9318</c:v>
                </c:pt>
                <c:pt idx="13">
                  <c:v>0.9411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913-43DC-A317-BE30EA220632}"/>
            </c:ext>
          </c:extLst>
        </c:ser>
        <c:ser>
          <c:idx val="5"/>
          <c:order val="4"/>
          <c:tx>
            <c:strRef>
              <c:f>'MSB Full-Time Dashboard'!$S$24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Dashboard'!$S$25:$S$38</c:f>
              <c:numCache>
                <c:formatCode>0.00%</c:formatCode>
                <c:ptCount val="14"/>
                <c:pt idx="0">
                  <c:v>0.1171</c:v>
                </c:pt>
                <c:pt idx="1">
                  <c:v>0.2165</c:v>
                </c:pt>
                <c:pt idx="2">
                  <c:v>0.2955</c:v>
                </c:pt>
                <c:pt idx="3">
                  <c:v>0.369</c:v>
                </c:pt>
                <c:pt idx="4">
                  <c:v>0.408</c:v>
                </c:pt>
                <c:pt idx="5">
                  <c:v>0.4572</c:v>
                </c:pt>
                <c:pt idx="6">
                  <c:v>0.5743</c:v>
                </c:pt>
                <c:pt idx="7">
                  <c:v>0.697</c:v>
                </c:pt>
                <c:pt idx="8">
                  <c:v>0.7742</c:v>
                </c:pt>
                <c:pt idx="9">
                  <c:v>0.8243</c:v>
                </c:pt>
                <c:pt idx="10">
                  <c:v>0.8727</c:v>
                </c:pt>
                <c:pt idx="11">
                  <c:v>0.9656</c:v>
                </c:pt>
                <c:pt idx="12">
                  <c:v>0.9703</c:v>
                </c:pt>
                <c:pt idx="13">
                  <c:v>0.974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13-43DC-A317-BE30EA220632}"/>
            </c:ext>
          </c:extLst>
        </c:ser>
        <c:ser>
          <c:idx val="0"/>
          <c:order val="5"/>
          <c:tx>
            <c:strRef>
              <c:f>'MSB Full-Time Dashboard'!$N$24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Dashboard'!$N$25:$N$38</c:f>
              <c:numCache>
                <c:formatCode>0.00%</c:formatCode>
                <c:ptCount val="14"/>
                <c:pt idx="0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3-43DC-A317-BE30EA2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BSAcc!$O$25:$O$38</c:f>
              <c:numCache>
                <c:formatCode>0.00%</c:formatCode>
                <c:ptCount val="14"/>
                <c:pt idx="2">
                  <c:v>0.2936</c:v>
                </c:pt>
                <c:pt idx="3">
                  <c:v>0.3271</c:v>
                </c:pt>
                <c:pt idx="4">
                  <c:v>0.3448</c:v>
                </c:pt>
                <c:pt idx="5">
                  <c:v>0.4466</c:v>
                </c:pt>
                <c:pt idx="6">
                  <c:v>0.5213</c:v>
                </c:pt>
                <c:pt idx="7">
                  <c:v>0.6118</c:v>
                </c:pt>
                <c:pt idx="8">
                  <c:v>0.8871</c:v>
                </c:pt>
                <c:pt idx="9">
                  <c:v>0.9661</c:v>
                </c:pt>
                <c:pt idx="10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E0-BC8E-64EE700A7883}"/>
            </c:ext>
          </c:extLst>
        </c:ser>
        <c:ser>
          <c:idx val="2"/>
          <c:order val="1"/>
          <c:tx>
            <c:strRef>
              <c:f>BSAcc!$P$24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BSAcc!$P$25:$P$38</c:f>
              <c:numCache>
                <c:formatCode>0.00%</c:formatCode>
                <c:ptCount val="14"/>
                <c:pt idx="0">
                  <c:v>0.2878787878787879</c:v>
                </c:pt>
                <c:pt idx="1">
                  <c:v>0.3333333333333333</c:v>
                </c:pt>
                <c:pt idx="2">
                  <c:v>0.3787878787878788</c:v>
                </c:pt>
                <c:pt idx="3">
                  <c:v>0.42424242424242425</c:v>
                </c:pt>
                <c:pt idx="4">
                  <c:v>0.45454545454545453</c:v>
                </c:pt>
                <c:pt idx="5">
                  <c:v>0.5303030303030303</c:v>
                </c:pt>
                <c:pt idx="6">
                  <c:v>0.6666666666666666</c:v>
                </c:pt>
                <c:pt idx="7">
                  <c:v>0.7878787878787878</c:v>
                </c:pt>
                <c:pt idx="8">
                  <c:v>0.8939393939393939</c:v>
                </c:pt>
                <c:pt idx="9">
                  <c:v>0.9696969696969697</c:v>
                </c:pt>
                <c:pt idx="10">
                  <c:v>0.9696969696969697</c:v>
                </c:pt>
                <c:pt idx="11">
                  <c:v>0.9848484848484849</c:v>
                </c:pt>
                <c:pt idx="12">
                  <c:v>0.9848484848484849</c:v>
                </c:pt>
                <c:pt idx="13">
                  <c:v>0.9848484848484849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40-47E0-BC8E-64EE700A7883}"/>
            </c:ext>
          </c:extLst>
        </c:ser>
        <c:ser>
          <c:idx val="3"/>
          <c:order val="2"/>
          <c:tx>
            <c:strRef>
              <c:f>BSAcc!$Q$24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BSAcc!$Q$25:$Q$38</c:f>
              <c:numCache>
                <c:formatCode>0.00%</c:formatCode>
                <c:ptCount val="14"/>
                <c:pt idx="0">
                  <c:v>0.17391304347826086</c:v>
                </c:pt>
                <c:pt idx="1">
                  <c:v>0.3333333333333333</c:v>
                </c:pt>
                <c:pt idx="2">
                  <c:v>0.4492753623188406</c:v>
                </c:pt>
                <c:pt idx="3">
                  <c:v>0.5217391304347826</c:v>
                </c:pt>
                <c:pt idx="4">
                  <c:v>0.5942028985507246</c:v>
                </c:pt>
                <c:pt idx="5">
                  <c:v>0.6231884057971014</c:v>
                </c:pt>
                <c:pt idx="6">
                  <c:v>0.7246376811594203</c:v>
                </c:pt>
                <c:pt idx="7">
                  <c:v>0.7971014492753623</c:v>
                </c:pt>
                <c:pt idx="8">
                  <c:v>0.9130434782608695</c:v>
                </c:pt>
                <c:pt idx="9">
                  <c:v>0.9420289855072463</c:v>
                </c:pt>
                <c:pt idx="10">
                  <c:v>0.9855072463768116</c:v>
                </c:pt>
                <c:pt idx="11">
                  <c:v>0.9855072463768116</c:v>
                </c:pt>
                <c:pt idx="12">
                  <c:v>0.9855072463768116</c:v>
                </c:pt>
                <c:pt idx="13">
                  <c:v>0.9855072463768116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40-47E0-BC8E-64EE700A7883}"/>
            </c:ext>
          </c:extLst>
        </c:ser>
        <c:ser>
          <c:idx val="4"/>
          <c:order val="3"/>
          <c:tx>
            <c:strRef>
              <c:f>BSAcc!$R$24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BSAcc!$R$25:$R$38</c:f>
              <c:numCache>
                <c:formatCode>0.00%</c:formatCode>
                <c:ptCount val="14"/>
                <c:pt idx="0">
                  <c:v>0.07352941176470588</c:v>
                </c:pt>
                <c:pt idx="1">
                  <c:v>0.08823529411764706</c:v>
                </c:pt>
                <c:pt idx="2">
                  <c:v>0.14705882352941177</c:v>
                </c:pt>
                <c:pt idx="3">
                  <c:v>0.23529411764705882</c:v>
                </c:pt>
                <c:pt idx="4">
                  <c:v>0.3235294117647059</c:v>
                </c:pt>
                <c:pt idx="5">
                  <c:v>0.38235294117647056</c:v>
                </c:pt>
                <c:pt idx="6">
                  <c:v>0.4852941176470588</c:v>
                </c:pt>
                <c:pt idx="7">
                  <c:v>0.8676470588235294</c:v>
                </c:pt>
                <c:pt idx="8">
                  <c:v>0.9411764705882353</c:v>
                </c:pt>
                <c:pt idx="9">
                  <c:v>0.9411764705882353</c:v>
                </c:pt>
                <c:pt idx="10">
                  <c:v>0.9558823529411765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B40-47E0-BC8E-64EE700A7883}"/>
            </c:ext>
          </c:extLst>
        </c:ser>
        <c:ser>
          <c:idx val="5"/>
          <c:order val="4"/>
          <c:tx>
            <c:strRef>
              <c:f>BSAcc!$S$24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BSAcc!$S$25:$S$38</c:f>
              <c:numCache>
                <c:formatCode>0.00%</c:formatCode>
                <c:ptCount val="14"/>
                <c:pt idx="0">
                  <c:v>0.0821917808219178</c:v>
                </c:pt>
                <c:pt idx="1">
                  <c:v>0.2054794520547945</c:v>
                </c:pt>
                <c:pt idx="2">
                  <c:v>0.2602739726027397</c:v>
                </c:pt>
                <c:pt idx="3">
                  <c:v>0.3150684931506849</c:v>
                </c:pt>
                <c:pt idx="4">
                  <c:v>0.3424657534246575</c:v>
                </c:pt>
                <c:pt idx="5">
                  <c:v>0.3698630136986301</c:v>
                </c:pt>
                <c:pt idx="6">
                  <c:v>0.5753424657534246</c:v>
                </c:pt>
                <c:pt idx="7">
                  <c:v>0.821917808219178</c:v>
                </c:pt>
                <c:pt idx="8">
                  <c:v>0.958904109589041</c:v>
                </c:pt>
                <c:pt idx="9">
                  <c:v>0.958904109589041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40-47E0-BC8E-64EE700A7883}"/>
            </c:ext>
          </c:extLst>
        </c:ser>
        <c:ser>
          <c:idx val="0"/>
          <c:order val="5"/>
          <c:tx>
            <c:strRef>
              <c:f>BSAcc!$N$24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0-47E0-BC8E-64EE700A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4.5281514698555056E-2"/>
          <c:y val="2.2346362161802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NittyGrittySheet!$B$40:$I$40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NittyGrittySheet!$B$41:$I$41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E-4EA3-95C4-AD893D03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layout>
        <c:manualLayout>
          <c:xMode val="edge"/>
          <c:yMode val="edge"/>
          <c:x val="4.7488412785611098E-2"/>
          <c:y val="2.24089635854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NittyGrittySheet!$B$44:$I$44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4-4F28-A08D-84BA271E6ACE}"/>
            </c:ext>
          </c:extLst>
        </c:ser>
        <c:ser>
          <c:idx val="1"/>
          <c:order val="1"/>
          <c:tx>
            <c:strRef>
              <c:f>NittyGrittySheet!$A$45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NittyGrittySheet!$B$45:$I$45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CF3-8580-5FA5A5B0126C}"/>
            </c:ext>
          </c:extLst>
        </c:ser>
        <c:ser>
          <c:idx val="3"/>
          <c:order val="3"/>
          <c:tx>
            <c:strRef>
              <c:f>NittyGrittySheet!$A$47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NittyGrittySheet!$B$47:$I$47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CF3-8580-5FA5A5B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NittyGrittySheet!$A$46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NittyGrittySheet!$B$46:$AL$46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99-4CF3-8580-5FA5A5B012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NittyGrittySheet!$B$48:$AL$48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13</c:v>
                      </c:pt>
                      <c:pt idx="13">
                        <c:v>13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21</c:v>
                      </c:pt>
                      <c:pt idx="19">
                        <c:v>23</c:v>
                      </c:pt>
                      <c:pt idx="20">
                        <c:v>23</c:v>
                      </c:pt>
                      <c:pt idx="21">
                        <c:v>23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27</c:v>
                      </c:pt>
                      <c:pt idx="28">
                        <c:v>27</c:v>
                      </c:pt>
                      <c:pt idx="29">
                        <c:v>27</c:v>
                      </c:pt>
                      <c:pt idx="30">
                        <c:v>26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99-4CF3-8580-5FA5A5B012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NittyGrittySheet!$B$49:$AL$49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99-4CF3-8580-5FA5A5B012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NittyGrittySheet!$B$50:$AL$50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13</c:v>
                      </c:pt>
                      <c:pt idx="27">
                        <c:v>15</c:v>
                      </c:pt>
                      <c:pt idx="28">
                        <c:v>16</c:v>
                      </c:pt>
                      <c:pt idx="29">
                        <c:v>18</c:v>
                      </c:pt>
                      <c:pt idx="30">
                        <c:v>18</c:v>
                      </c:pt>
                      <c:pt idx="31">
                        <c:v>18</c:v>
                      </c:pt>
                      <c:pt idx="32">
                        <c:v>18</c:v>
                      </c:pt>
                      <c:pt idx="33">
                        <c:v>19</c:v>
                      </c:pt>
                      <c:pt idx="34">
                        <c:v>18</c:v>
                      </c:pt>
                      <c:pt idx="35">
                        <c:v>16</c:v>
                      </c:pt>
                      <c:pt idx="36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99-4CF3-8580-5FA5A5B012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NittyGrittySheet!$B$51:$AL$51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99-4CF3-8580-5FA5A5B012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NittyGrittySheet!$B$52:$AL$52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99-4CF3-8580-5FA5A5B012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NittyGrittySheet!$B$53:$AL$53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99-4CF3-8580-5FA5A5B012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NittyGrittySheet!$B$54:$AL$54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123</c:v>
                      </c:pt>
                      <c:pt idx="1">
                        <c:v>123</c:v>
                      </c:pt>
                      <c:pt idx="2">
                        <c:v>122</c:v>
                      </c:pt>
                      <c:pt idx="3">
                        <c:v>122</c:v>
                      </c:pt>
                      <c:pt idx="4">
                        <c:v>121</c:v>
                      </c:pt>
                      <c:pt idx="5">
                        <c:v>121</c:v>
                      </c:pt>
                      <c:pt idx="6">
                        <c:v>122</c:v>
                      </c:pt>
                      <c:pt idx="7">
                        <c:v>120</c:v>
                      </c:pt>
                      <c:pt idx="8">
                        <c:v>118</c:v>
                      </c:pt>
                      <c:pt idx="9">
                        <c:v>132</c:v>
                      </c:pt>
                      <c:pt idx="10">
                        <c:v>132</c:v>
                      </c:pt>
                      <c:pt idx="11">
                        <c:v>131</c:v>
                      </c:pt>
                      <c:pt idx="12">
                        <c:v>130</c:v>
                      </c:pt>
                      <c:pt idx="13">
                        <c:v>131</c:v>
                      </c:pt>
                      <c:pt idx="14">
                        <c:v>130</c:v>
                      </c:pt>
                      <c:pt idx="15">
                        <c:v>131</c:v>
                      </c:pt>
                      <c:pt idx="16">
                        <c:v>126</c:v>
                      </c:pt>
                      <c:pt idx="17">
                        <c:v>127</c:v>
                      </c:pt>
                      <c:pt idx="18">
                        <c:v>123</c:v>
                      </c:pt>
                      <c:pt idx="19">
                        <c:v>123</c:v>
                      </c:pt>
                      <c:pt idx="20">
                        <c:v>123</c:v>
                      </c:pt>
                      <c:pt idx="21">
                        <c:v>120</c:v>
                      </c:pt>
                      <c:pt idx="22">
                        <c:v>119</c:v>
                      </c:pt>
                      <c:pt idx="23">
                        <c:v>119</c:v>
                      </c:pt>
                      <c:pt idx="24">
                        <c:v>120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111</c:v>
                      </c:pt>
                      <c:pt idx="28">
                        <c:v>113</c:v>
                      </c:pt>
                      <c:pt idx="29">
                        <c:v>113</c:v>
                      </c:pt>
                      <c:pt idx="30">
                        <c:v>110</c:v>
                      </c:pt>
                      <c:pt idx="31">
                        <c:v>110</c:v>
                      </c:pt>
                      <c:pt idx="32">
                        <c:v>110</c:v>
                      </c:pt>
                      <c:pt idx="33">
                        <c:v>110</c:v>
                      </c:pt>
                      <c:pt idx="34">
                        <c:v>109</c:v>
                      </c:pt>
                      <c:pt idx="35">
                        <c:v>104</c:v>
                      </c:pt>
                      <c:pt idx="36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99-4CF3-8580-5FA5A5B012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BSEDM!$O$24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BSEDM!$O$25:$O$38</c:f>
              <c:numCache>
                <c:formatCode>0.00%</c:formatCode>
                <c:ptCount val="14"/>
                <c:pt idx="2">
                  <c:v>0.1279</c:v>
                </c:pt>
                <c:pt idx="3">
                  <c:v>0.1377</c:v>
                </c:pt>
                <c:pt idx="4">
                  <c:v>0.1768</c:v>
                </c:pt>
                <c:pt idx="5">
                  <c:v>0.1863</c:v>
                </c:pt>
                <c:pt idx="6">
                  <c:v>0.1911</c:v>
                </c:pt>
                <c:pt idx="7">
                  <c:v>0.3092</c:v>
                </c:pt>
                <c:pt idx="8">
                  <c:v>0.5328</c:v>
                </c:pt>
                <c:pt idx="9">
                  <c:v>0.6748000000000001</c:v>
                </c:pt>
                <c:pt idx="10">
                  <c:v>0.8421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4-4B21-A880-05EC7CE2971D}"/>
            </c:ext>
          </c:extLst>
        </c:ser>
        <c:ser>
          <c:idx val="2"/>
          <c:order val="1"/>
          <c:tx>
            <c:strRef>
              <c:f>BSEDM!$P$24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BSEDM!$P$25:$P$38</c:f>
              <c:numCache>
                <c:formatCode>0.00%</c:formatCode>
                <c:ptCount val="14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0.2</c:v>
                </c:pt>
                <c:pt idx="6">
                  <c:v>0.24</c:v>
                </c:pt>
                <c:pt idx="7">
                  <c:v>0.31</c:v>
                </c:pt>
                <c:pt idx="8">
                  <c:v>0.44</c:v>
                </c:pt>
                <c:pt idx="9">
                  <c:v>0.51</c:v>
                </c:pt>
                <c:pt idx="10">
                  <c:v>0.52</c:v>
                </c:pt>
                <c:pt idx="11">
                  <c:v>0.73</c:v>
                </c:pt>
                <c:pt idx="12">
                  <c:v>0.79</c:v>
                </c:pt>
                <c:pt idx="13">
                  <c:v>0.96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784-4B21-A880-05EC7CE2971D}"/>
            </c:ext>
          </c:extLst>
        </c:ser>
        <c:ser>
          <c:idx val="3"/>
          <c:order val="2"/>
          <c:tx>
            <c:strRef>
              <c:f>BSEDM!$Q$24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BSEDM!$Q$25:$Q$38</c:f>
              <c:numCache>
                <c:formatCode>0.00%</c:formatCode>
                <c:ptCount val="14"/>
                <c:pt idx="0">
                  <c:v>0.0625</c:v>
                </c:pt>
                <c:pt idx="1">
                  <c:v>0.0625</c:v>
                </c:pt>
                <c:pt idx="2">
                  <c:v>0.0625</c:v>
                </c:pt>
                <c:pt idx="3">
                  <c:v>0.0875</c:v>
                </c:pt>
                <c:pt idx="4">
                  <c:v>0.1125</c:v>
                </c:pt>
                <c:pt idx="5">
                  <c:v>0.25</c:v>
                </c:pt>
                <c:pt idx="6">
                  <c:v>0.2875</c:v>
                </c:pt>
                <c:pt idx="7">
                  <c:v>0.2875</c:v>
                </c:pt>
                <c:pt idx="8">
                  <c:v>0.65</c:v>
                </c:pt>
                <c:pt idx="9">
                  <c:v>0.6875</c:v>
                </c:pt>
                <c:pt idx="10">
                  <c:v>0.8</c:v>
                </c:pt>
                <c:pt idx="11">
                  <c:v>0.975</c:v>
                </c:pt>
                <c:pt idx="12">
                  <c:v>0.975</c:v>
                </c:pt>
                <c:pt idx="13">
                  <c:v>0.9875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784-4B21-A880-05EC7CE2971D}"/>
            </c:ext>
          </c:extLst>
        </c:ser>
        <c:ser>
          <c:idx val="4"/>
          <c:order val="3"/>
          <c:tx>
            <c:strRef>
              <c:f>BSEDM!$R$24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BSEDM!$R$25:$R$38</c:f>
              <c:numCache>
                <c:formatCode>0.00%</c:formatCode>
                <c:ptCount val="14"/>
                <c:pt idx="0">
                  <c:v>0.06172839506172839</c:v>
                </c:pt>
                <c:pt idx="1">
                  <c:v>0.08641975308641975</c:v>
                </c:pt>
                <c:pt idx="2">
                  <c:v>0.12345679012345678</c:v>
                </c:pt>
                <c:pt idx="3">
                  <c:v>0.16049382716049382</c:v>
                </c:pt>
                <c:pt idx="4">
                  <c:v>0.16049382716049382</c:v>
                </c:pt>
                <c:pt idx="5">
                  <c:v>0.1728395061728395</c:v>
                </c:pt>
                <c:pt idx="6">
                  <c:v>0.1728395061728395</c:v>
                </c:pt>
                <c:pt idx="7">
                  <c:v>0.2716049382716049</c:v>
                </c:pt>
                <c:pt idx="8">
                  <c:v>0.37037037037037035</c:v>
                </c:pt>
                <c:pt idx="9">
                  <c:v>0.4567901234567901</c:v>
                </c:pt>
                <c:pt idx="10">
                  <c:v>0.5185185185185185</c:v>
                </c:pt>
                <c:pt idx="11">
                  <c:v>0.7530864197530864</c:v>
                </c:pt>
                <c:pt idx="12">
                  <c:v>0.7901234567901234</c:v>
                </c:pt>
                <c:pt idx="13">
                  <c:v>0.8271604938271605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84-4B21-A880-05EC7CE2971D}"/>
            </c:ext>
          </c:extLst>
        </c:ser>
        <c:ser>
          <c:idx val="5"/>
          <c:order val="4"/>
          <c:tx>
            <c:strRef>
              <c:f>BSEDM!$S$24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BSEDM!$S$25:$S$38</c:f>
              <c:numCache>
                <c:formatCode>0.00%</c:formatCode>
                <c:ptCount val="14"/>
                <c:pt idx="0">
                  <c:v>0.058823529411764705</c:v>
                </c:pt>
                <c:pt idx="1">
                  <c:v>0.07352941176470588</c:v>
                </c:pt>
                <c:pt idx="2">
                  <c:v>0.11764705882352941</c:v>
                </c:pt>
                <c:pt idx="3">
                  <c:v>0.1323529411764706</c:v>
                </c:pt>
                <c:pt idx="4">
                  <c:v>0.16176470588235295</c:v>
                </c:pt>
                <c:pt idx="5">
                  <c:v>0.19117647058823528</c:v>
                </c:pt>
                <c:pt idx="6">
                  <c:v>0.23529411764705882</c:v>
                </c:pt>
                <c:pt idx="7">
                  <c:v>0.3235294117647059</c:v>
                </c:pt>
                <c:pt idx="8">
                  <c:v>0.4117647058823529</c:v>
                </c:pt>
                <c:pt idx="9">
                  <c:v>0.5294117647058824</c:v>
                </c:pt>
                <c:pt idx="10">
                  <c:v>0.5735294117647058</c:v>
                </c:pt>
                <c:pt idx="11">
                  <c:v>0.8970588235294118</c:v>
                </c:pt>
                <c:pt idx="12">
                  <c:v>0.9264705882352942</c:v>
                </c:pt>
                <c:pt idx="13">
                  <c:v>0.9558823529411765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784-4B21-A880-05EC7CE2971D}"/>
            </c:ext>
          </c:extLst>
        </c:ser>
        <c:ser>
          <c:idx val="0"/>
          <c:order val="5"/>
          <c:tx>
            <c:strRef>
              <c:f>BSEDM!$N$24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4-4B21-A880-05EC7CE2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NittyGrittySheet!$A$58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NittyGrittySheet!$B$57:$I$57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NittyGrittySheet!$B$58:$I$58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3DC-AF72-89365CBE9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NittyGrittySheet!$A$61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NittyGrittySheet!$B$61:$I$61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66E-BDDE-4B41CA05E52C}"/>
            </c:ext>
          </c:extLst>
        </c:ser>
        <c:ser>
          <c:idx val="1"/>
          <c:order val="1"/>
          <c:tx>
            <c:strRef>
              <c:f>NittyGrittySheet!$A$62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NittyGrittySheet!$B$62:$I$62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66E-BDDE-4B41CA05E52C}"/>
            </c:ext>
          </c:extLst>
        </c:ser>
        <c:ser>
          <c:idx val="3"/>
          <c:order val="3"/>
          <c:tx>
            <c:strRef>
              <c:f>NittyGrittySheet!$A$64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NittyGrittySheet!$B$64:$I$64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4-4C13-A879-18B98A7A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NittyGrittySheet!$A$63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NittyGrittySheet!$B$63:$AL$63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74-4C13-A879-18B98A7A37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NittyGrittySheet!$B$65:$AL$65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74-4C13-A879-18B98A7A37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NittyGrittySheet!$B$66:$AL$66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6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74-4C13-A879-18B98A7A371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NittyGrittySheet!$B$67:$AL$67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74-4C13-A879-18B98A7A371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NittyGrittySheet!$B$68:$AL$68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6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10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13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74-4C13-A879-18B98A7A371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NittyGrittySheet!$B$69:$AL$69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74-4C13-A879-18B98A7A371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NittyGrittySheet!$B$70:$AL$70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74-4C13-A879-18B98A7A371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NittyGrittySheet!$B$71:$AL$71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180</c:v>
                      </c:pt>
                      <c:pt idx="3">
                        <c:v>180</c:v>
                      </c:pt>
                      <c:pt idx="4">
                        <c:v>180</c:v>
                      </c:pt>
                      <c:pt idx="5">
                        <c:v>178</c:v>
                      </c:pt>
                      <c:pt idx="6">
                        <c:v>178</c:v>
                      </c:pt>
                      <c:pt idx="7">
                        <c:v>178</c:v>
                      </c:pt>
                      <c:pt idx="8">
                        <c:v>179</c:v>
                      </c:pt>
                      <c:pt idx="9">
                        <c:v>178</c:v>
                      </c:pt>
                      <c:pt idx="10">
                        <c:v>177</c:v>
                      </c:pt>
                      <c:pt idx="11">
                        <c:v>177</c:v>
                      </c:pt>
                      <c:pt idx="12">
                        <c:v>177</c:v>
                      </c:pt>
                      <c:pt idx="13">
                        <c:v>177</c:v>
                      </c:pt>
                      <c:pt idx="14">
                        <c:v>178</c:v>
                      </c:pt>
                      <c:pt idx="15">
                        <c:v>177</c:v>
                      </c:pt>
                      <c:pt idx="16">
                        <c:v>174</c:v>
                      </c:pt>
                      <c:pt idx="17">
                        <c:v>172</c:v>
                      </c:pt>
                      <c:pt idx="18">
                        <c:v>170</c:v>
                      </c:pt>
                      <c:pt idx="19">
                        <c:v>170</c:v>
                      </c:pt>
                      <c:pt idx="20">
                        <c:v>170</c:v>
                      </c:pt>
                      <c:pt idx="21">
                        <c:v>170</c:v>
                      </c:pt>
                      <c:pt idx="22">
                        <c:v>168</c:v>
                      </c:pt>
                      <c:pt idx="23">
                        <c:v>167</c:v>
                      </c:pt>
                      <c:pt idx="24">
                        <c:v>167</c:v>
                      </c:pt>
                      <c:pt idx="25">
                        <c:v>166</c:v>
                      </c:pt>
                      <c:pt idx="26">
                        <c:v>164</c:v>
                      </c:pt>
                      <c:pt idx="27">
                        <c:v>161</c:v>
                      </c:pt>
                      <c:pt idx="28">
                        <c:v>162</c:v>
                      </c:pt>
                      <c:pt idx="29">
                        <c:v>161</c:v>
                      </c:pt>
                      <c:pt idx="30">
                        <c:v>154</c:v>
                      </c:pt>
                      <c:pt idx="31">
                        <c:v>153</c:v>
                      </c:pt>
                      <c:pt idx="32">
                        <c:v>151</c:v>
                      </c:pt>
                      <c:pt idx="33">
                        <c:v>150</c:v>
                      </c:pt>
                      <c:pt idx="34">
                        <c:v>149</c:v>
                      </c:pt>
                      <c:pt idx="35">
                        <c:v>146</c:v>
                      </c:pt>
                      <c:pt idx="36">
                        <c:v>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74-4C13-A879-18B98A7A371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BSEnt!$O$24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BSEnt!$O$25:$O$38</c:f>
              <c:numCache>
                <c:formatCode>0.00%</c:formatCode>
                <c:ptCount val="14"/>
                <c:pt idx="2">
                  <c:v>0.1587</c:v>
                </c:pt>
                <c:pt idx="3">
                  <c:v>0.1406</c:v>
                </c:pt>
                <c:pt idx="4">
                  <c:v>0.1739</c:v>
                </c:pt>
                <c:pt idx="5">
                  <c:v>0.2239</c:v>
                </c:pt>
                <c:pt idx="6">
                  <c:v>0.2273</c:v>
                </c:pt>
                <c:pt idx="7">
                  <c:v>0.2424</c:v>
                </c:pt>
                <c:pt idx="8">
                  <c:v>0.2857</c:v>
                </c:pt>
                <c:pt idx="9">
                  <c:v>0.3509</c:v>
                </c:pt>
                <c:pt idx="10">
                  <c:v>0.5333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D-40EA-944B-A09FEBEE52E7}"/>
            </c:ext>
          </c:extLst>
        </c:ser>
        <c:ser>
          <c:idx val="2"/>
          <c:order val="1"/>
          <c:tx>
            <c:strRef>
              <c:f>BSEnt!$P$24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BSEnt!$P$25:$P$38</c:f>
              <c:numCache>
                <c:formatCode>0.00%</c:formatCode>
                <c:ptCount val="14"/>
                <c:pt idx="0">
                  <c:v>0.22727272727272727</c:v>
                </c:pt>
                <c:pt idx="1">
                  <c:v>0.22727272727272727</c:v>
                </c:pt>
                <c:pt idx="2">
                  <c:v>0.22727272727272727</c:v>
                </c:pt>
                <c:pt idx="3">
                  <c:v>0.22727272727272727</c:v>
                </c:pt>
                <c:pt idx="4">
                  <c:v>0.22727272727272727</c:v>
                </c:pt>
                <c:pt idx="5">
                  <c:v>0.4090909090909091</c:v>
                </c:pt>
                <c:pt idx="6">
                  <c:v>0.45454545454545453</c:v>
                </c:pt>
                <c:pt idx="7">
                  <c:v>0.5909090909090909</c:v>
                </c:pt>
                <c:pt idx="8">
                  <c:v>0.5909090909090909</c:v>
                </c:pt>
                <c:pt idx="9">
                  <c:v>0.6363636363636364</c:v>
                </c:pt>
                <c:pt idx="10">
                  <c:v>0.6363636363636364</c:v>
                </c:pt>
                <c:pt idx="11">
                  <c:v>0.6818181818181818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DAD-40EA-944B-A09FEBEE52E7}"/>
            </c:ext>
          </c:extLst>
        </c:ser>
        <c:ser>
          <c:idx val="3"/>
          <c:order val="2"/>
          <c:tx>
            <c:strRef>
              <c:f>BSEnt!$Q$24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BSEnt!$Q$25:$Q$38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0.28</c:v>
                </c:pt>
                <c:pt idx="7">
                  <c:v>0.32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DAD-40EA-944B-A09FEBEE52E7}"/>
            </c:ext>
          </c:extLst>
        </c:ser>
        <c:ser>
          <c:idx val="4"/>
          <c:order val="3"/>
          <c:tx>
            <c:strRef>
              <c:f>BSEnt!$R$24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BSEnt!$R$25:$R$38</c:f>
              <c:numCache>
                <c:formatCode>0.00%</c:formatCode>
                <c:ptCount val="14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0.3125</c:v>
                </c:pt>
                <c:pt idx="8">
                  <c:v>0.375</c:v>
                </c:pt>
                <c:pt idx="9">
                  <c:v>0.8125</c:v>
                </c:pt>
                <c:pt idx="10">
                  <c:v>0.875</c:v>
                </c:pt>
                <c:pt idx="11">
                  <c:v>0.875</c:v>
                </c:pt>
                <c:pt idx="12">
                  <c:v>0.875</c:v>
                </c:pt>
                <c:pt idx="13">
                  <c:v>0.875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DAD-40EA-944B-A09FEBEE52E7}"/>
            </c:ext>
          </c:extLst>
        </c:ser>
        <c:ser>
          <c:idx val="5"/>
          <c:order val="4"/>
          <c:tx>
            <c:strRef>
              <c:f>BSEnt!$S$24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BSEnt!$S$25:$S$38</c:f>
              <c:numCache>
                <c:formatCode>0.00%</c:formatCode>
                <c:ptCount val="14"/>
                <c:pt idx="0">
                  <c:v>0.15789473684210525</c:v>
                </c:pt>
                <c:pt idx="1">
                  <c:v>0.15789473684210525</c:v>
                </c:pt>
                <c:pt idx="2">
                  <c:v>0.2631578947368421</c:v>
                </c:pt>
                <c:pt idx="3">
                  <c:v>0.2631578947368421</c:v>
                </c:pt>
                <c:pt idx="4">
                  <c:v>0.2631578947368421</c:v>
                </c:pt>
                <c:pt idx="5">
                  <c:v>0.2631578947368421</c:v>
                </c:pt>
                <c:pt idx="6">
                  <c:v>0.2631578947368421</c:v>
                </c:pt>
                <c:pt idx="7">
                  <c:v>0.2631578947368421</c:v>
                </c:pt>
                <c:pt idx="8">
                  <c:v>0.2631578947368421</c:v>
                </c:pt>
                <c:pt idx="9">
                  <c:v>0.2631578947368421</c:v>
                </c:pt>
                <c:pt idx="10">
                  <c:v>0.3157894736842105</c:v>
                </c:pt>
                <c:pt idx="11">
                  <c:v>0.7894736842105263</c:v>
                </c:pt>
                <c:pt idx="12">
                  <c:v>0.7894736842105263</c:v>
                </c:pt>
                <c:pt idx="13">
                  <c:v>0.7894736842105263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DAD-40EA-944B-A09FEBEE52E7}"/>
            </c:ext>
          </c:extLst>
        </c:ser>
        <c:ser>
          <c:idx val="0"/>
          <c:order val="5"/>
          <c:tx>
            <c:strRef>
              <c:f>BSEnt!$N$24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AD-40EA-944B-A09FEBE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Placmement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NittyGrittySheet!$B$74:$I$74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NittyGrittySheet!$B$75:$I$75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F-4BBA-823D-210FB336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NittyGrittySheet!$B$78:$I$78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1-4015-826B-1E370DC20998}"/>
            </c:ext>
          </c:extLst>
        </c:ser>
        <c:ser>
          <c:idx val="1"/>
          <c:order val="1"/>
          <c:tx>
            <c:strRef>
              <c:f>NittyGrittySheet!$A$79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NittyGrittySheet!$B$79:$I$79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1-4015-826B-1E370DC20998}"/>
            </c:ext>
          </c:extLst>
        </c:ser>
        <c:ser>
          <c:idx val="3"/>
          <c:order val="3"/>
          <c:tx>
            <c:strRef>
              <c:f>NittyGrittySheet!$A$81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NittyGrittySheet!$B$81:$I$81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D-436A-ACA1-D4D3EC7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NittyGrittySheet!$A$80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NittyGrittySheet!$B$80:$AL$80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5D-436A-ACA1-D4D3EC7A36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NittyGrittySheet!$B$82:$AL$82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5D-436A-ACA1-D4D3EC7A36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NittyGrittySheet!$B$83:$AL$83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5D-436A-ACA1-D4D3EC7A362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NittyGrittySheet!$B$84:$AL$84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5D-436A-ACA1-D4D3EC7A36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NittyGrittySheet!$B$85:$AL$85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5D-436A-ACA1-D4D3EC7A36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NittyGrittySheet!$B$86:$AL$86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5D-436A-ACA1-D4D3EC7A362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NittyGrittySheet!$B$87:$AL$87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</c:v>
                      </c:pt>
                      <c:pt idx="1">
                        <c:v>19</c:v>
                      </c:pt>
                      <c:pt idx="2">
                        <c:v>19</c:v>
                      </c:pt>
                      <c:pt idx="3">
                        <c:v>19</c:v>
                      </c:pt>
                      <c:pt idx="4">
                        <c:v>18</c:v>
                      </c:pt>
                      <c:pt idx="5">
                        <c:v>18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22</c:v>
                      </c:pt>
                      <c:pt idx="28">
                        <c:v>22</c:v>
                      </c:pt>
                      <c:pt idx="29">
                        <c:v>22</c:v>
                      </c:pt>
                      <c:pt idx="30">
                        <c:v>24</c:v>
                      </c:pt>
                      <c:pt idx="31">
                        <c:v>25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32</c:v>
                      </c:pt>
                      <c:pt idx="35">
                        <c:v>32</c:v>
                      </c:pt>
                      <c:pt idx="36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5D-436A-ACA1-D4D3EC7A362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NittyGrittySheet!$B$88:$AL$88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83</c:v>
                      </c:pt>
                      <c:pt idx="5">
                        <c:v>83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89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88</c:v>
                      </c:pt>
                      <c:pt idx="28">
                        <c:v>88</c:v>
                      </c:pt>
                      <c:pt idx="29">
                        <c:v>88</c:v>
                      </c:pt>
                      <c:pt idx="30">
                        <c:v>88</c:v>
                      </c:pt>
                      <c:pt idx="31">
                        <c:v>88</c:v>
                      </c:pt>
                      <c:pt idx="32">
                        <c:v>88</c:v>
                      </c:pt>
                      <c:pt idx="33">
                        <c:v>87</c:v>
                      </c:pt>
                      <c:pt idx="34">
                        <c:v>87</c:v>
                      </c:pt>
                      <c:pt idx="35">
                        <c:v>87</c:v>
                      </c:pt>
                      <c:pt idx="36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65D-436A-ACA1-D4D3EC7A362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BSFin!$O$24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BSFin!$O$25:$O$38</c:f>
              <c:numCache>
                <c:formatCode>0.00%</c:formatCode>
                <c:ptCount val="14"/>
                <c:pt idx="2">
                  <c:v>0.2989</c:v>
                </c:pt>
                <c:pt idx="3">
                  <c:v>0.4251</c:v>
                </c:pt>
                <c:pt idx="4">
                  <c:v>0.5365</c:v>
                </c:pt>
                <c:pt idx="5">
                  <c:v>0.6245</c:v>
                </c:pt>
                <c:pt idx="6">
                  <c:v>0.6833</c:v>
                </c:pt>
                <c:pt idx="7">
                  <c:v>0.7944</c:v>
                </c:pt>
                <c:pt idx="8">
                  <c:v>0.8835</c:v>
                </c:pt>
                <c:pt idx="9">
                  <c:v>0.9104000000000001</c:v>
                </c:pt>
                <c:pt idx="10">
                  <c:v>0.9479000000000001</c:v>
                </c:pt>
                <c:pt idx="11">
                  <c:v>0.9684</c:v>
                </c:pt>
                <c:pt idx="12">
                  <c:v>0.9684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C-4965-9B49-96332123885C}"/>
            </c:ext>
          </c:extLst>
        </c:ser>
        <c:ser>
          <c:idx val="2"/>
          <c:order val="1"/>
          <c:tx>
            <c:strRef>
              <c:f>BSFin!$P$24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BSFin!$P$25:$P$38</c:f>
              <c:numCache>
                <c:formatCode>0.00%</c:formatCode>
                <c:ptCount val="14"/>
                <c:pt idx="0">
                  <c:v>0.07878787878787878</c:v>
                </c:pt>
                <c:pt idx="1">
                  <c:v>0.14545454545454545</c:v>
                </c:pt>
                <c:pt idx="2">
                  <c:v>0.3878787878787879</c:v>
                </c:pt>
                <c:pt idx="3">
                  <c:v>0.45454545454545453</c:v>
                </c:pt>
                <c:pt idx="4">
                  <c:v>0.503030303030303</c:v>
                </c:pt>
                <c:pt idx="5">
                  <c:v>0.5757575757575758</c:v>
                </c:pt>
                <c:pt idx="6">
                  <c:v>0.6121212121212121</c:v>
                </c:pt>
                <c:pt idx="7">
                  <c:v>0.6848484848484848</c:v>
                </c:pt>
                <c:pt idx="8">
                  <c:v>0.806060606060606</c:v>
                </c:pt>
                <c:pt idx="9">
                  <c:v>0.8787878787878788</c:v>
                </c:pt>
                <c:pt idx="10">
                  <c:v>0.8909090909090909</c:v>
                </c:pt>
                <c:pt idx="11">
                  <c:v>0.9636363636363636</c:v>
                </c:pt>
                <c:pt idx="12">
                  <c:v>0.9636363636363636</c:v>
                </c:pt>
                <c:pt idx="13">
                  <c:v>0.9757575757575757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1DC-4965-9B49-96332123885C}"/>
            </c:ext>
          </c:extLst>
        </c:ser>
        <c:ser>
          <c:idx val="3"/>
          <c:order val="2"/>
          <c:tx>
            <c:strRef>
              <c:f>BSFin!$Q$24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BSFin!$Q$25:$Q$38</c:f>
              <c:numCache>
                <c:formatCode>0.00%</c:formatCode>
                <c:ptCount val="14"/>
                <c:pt idx="0">
                  <c:v>0.06470588235294118</c:v>
                </c:pt>
                <c:pt idx="1">
                  <c:v>0.10588235294117647</c:v>
                </c:pt>
                <c:pt idx="2">
                  <c:v>0.3176470588235294</c:v>
                </c:pt>
                <c:pt idx="3">
                  <c:v>0.3588235294117647</c:v>
                </c:pt>
                <c:pt idx="4">
                  <c:v>0.4235294117647059</c:v>
                </c:pt>
                <c:pt idx="5">
                  <c:v>0.5470588235294118</c:v>
                </c:pt>
                <c:pt idx="6">
                  <c:v>0.6294117647058823</c:v>
                </c:pt>
                <c:pt idx="7">
                  <c:v>0.711764705882353</c:v>
                </c:pt>
                <c:pt idx="8">
                  <c:v>0.7705882352941177</c:v>
                </c:pt>
                <c:pt idx="9">
                  <c:v>0.8294117647058824</c:v>
                </c:pt>
                <c:pt idx="10">
                  <c:v>0.888235294117647</c:v>
                </c:pt>
                <c:pt idx="11">
                  <c:v>0.9588235294117647</c:v>
                </c:pt>
                <c:pt idx="12">
                  <c:v>0.9764705882352941</c:v>
                </c:pt>
                <c:pt idx="13">
                  <c:v>0.9764705882352941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DC-4965-9B49-96332123885C}"/>
            </c:ext>
          </c:extLst>
        </c:ser>
        <c:ser>
          <c:idx val="4"/>
          <c:order val="3"/>
          <c:tx>
            <c:strRef>
              <c:f>BSFin!$R$24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BSFin!$R$25:$R$38</c:f>
              <c:numCache>
                <c:formatCode>0.00%</c:formatCode>
                <c:ptCount val="14"/>
                <c:pt idx="0">
                  <c:v>0.10975609756097561</c:v>
                </c:pt>
                <c:pt idx="1">
                  <c:v>0.14634146341463414</c:v>
                </c:pt>
                <c:pt idx="2">
                  <c:v>0.2804878048780488</c:v>
                </c:pt>
                <c:pt idx="3">
                  <c:v>0.5304878048780488</c:v>
                </c:pt>
                <c:pt idx="4">
                  <c:v>0.5426829268292683</c:v>
                </c:pt>
                <c:pt idx="5">
                  <c:v>0.5853658536585366</c:v>
                </c:pt>
                <c:pt idx="6">
                  <c:v>0.676829268292683</c:v>
                </c:pt>
                <c:pt idx="7">
                  <c:v>0.7560975609756098</c:v>
                </c:pt>
                <c:pt idx="8">
                  <c:v>0.8048780487804879</c:v>
                </c:pt>
                <c:pt idx="9">
                  <c:v>0.8353658536585366</c:v>
                </c:pt>
                <c:pt idx="10">
                  <c:v>0.8963414634146342</c:v>
                </c:pt>
                <c:pt idx="11">
                  <c:v>0.9573170731707317</c:v>
                </c:pt>
                <c:pt idx="12">
                  <c:v>0.9695121951219512</c:v>
                </c:pt>
                <c:pt idx="13">
                  <c:v>0.9817073170731707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1DC-4965-9B49-96332123885C}"/>
            </c:ext>
          </c:extLst>
        </c:ser>
        <c:ser>
          <c:idx val="5"/>
          <c:order val="4"/>
          <c:tx>
            <c:strRef>
              <c:f>BSFin!$S$24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BSFin!$S$25:$S$38</c:f>
              <c:numCache>
                <c:formatCode>0.00%</c:formatCode>
                <c:ptCount val="14"/>
                <c:pt idx="0">
                  <c:v>0.16770186335403728</c:v>
                </c:pt>
                <c:pt idx="1">
                  <c:v>0.2608695652173913</c:v>
                </c:pt>
                <c:pt idx="2">
                  <c:v>0.36645962732919257</c:v>
                </c:pt>
                <c:pt idx="3">
                  <c:v>0.43478260869565216</c:v>
                </c:pt>
                <c:pt idx="4">
                  <c:v>0.484472049689441</c:v>
                </c:pt>
                <c:pt idx="5">
                  <c:v>0.5279503105590062</c:v>
                </c:pt>
                <c:pt idx="6">
                  <c:v>0.7080745341614907</c:v>
                </c:pt>
                <c:pt idx="7">
                  <c:v>0.8136645962732919</c:v>
                </c:pt>
                <c:pt idx="8">
                  <c:v>0.8695652173913043</c:v>
                </c:pt>
                <c:pt idx="9">
                  <c:v>0.906832298136646</c:v>
                </c:pt>
                <c:pt idx="10">
                  <c:v>0.937888198757764</c:v>
                </c:pt>
                <c:pt idx="11">
                  <c:v>0.9751552795031055</c:v>
                </c:pt>
                <c:pt idx="12">
                  <c:v>0.9751552795031055</c:v>
                </c:pt>
                <c:pt idx="13">
                  <c:v>0.9751552795031055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1DC-4965-9B49-96332123885C}"/>
            </c:ext>
          </c:extLst>
        </c:ser>
        <c:ser>
          <c:idx val="0"/>
          <c:order val="5"/>
          <c:tx>
            <c:strRef>
              <c:f>BSFin!$N$24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BSFin!$N$25:$N$38</c:f>
              <c:numCache>
                <c:formatCode>0.00%</c:formatCode>
                <c:ptCount val="14"/>
                <c:pt idx="0">
                  <c:v>0.1103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C-4965-9B49-96332123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NittyGrittySheet!$B$91:$I$91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NittyGrittySheet!$B$92:$I$92</c:f>
              <c:numCache>
                <c:formatCode>0.00%</c:formatCode>
                <c:ptCount val="8"/>
                <c:pt idx="0">
                  <c:v>0.1022</c:v>
                </c:pt>
                <c:pt idx="1">
                  <c:v>0.0649</c:v>
                </c:pt>
                <c:pt idx="2">
                  <c:v>0.0687</c:v>
                </c:pt>
                <c:pt idx="3">
                  <c:v>0.0687</c:v>
                </c:pt>
                <c:pt idx="4">
                  <c:v>0.0684</c:v>
                </c:pt>
                <c:pt idx="5">
                  <c:v>0.0722</c:v>
                </c:pt>
                <c:pt idx="6">
                  <c:v>0.1027</c:v>
                </c:pt>
                <c:pt idx="7">
                  <c:v>0.1103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B14-B057-44498E42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NittyGrittySheet!$B$95:$I$95</c:f>
              <c:numCache>
                <c:formatCode>General</c:formatCode>
                <c:ptCount val="8"/>
                <c:pt idx="0">
                  <c:v>28.0</c:v>
                </c:pt>
                <c:pt idx="1">
                  <c:v>17.0</c:v>
                </c:pt>
                <c:pt idx="2">
                  <c:v>18.0</c:v>
                </c:pt>
                <c:pt idx="3">
                  <c:v>18.0</c:v>
                </c:pt>
                <c:pt idx="4">
                  <c:v>18.0</c:v>
                </c:pt>
                <c:pt idx="5">
                  <c:v>19.0</c:v>
                </c:pt>
                <c:pt idx="6">
                  <c:v>27.0</c:v>
                </c:pt>
                <c:pt idx="7">
                  <c:v>29.0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B-4C0A-B49D-CC12A88E67D4}"/>
            </c:ext>
          </c:extLst>
        </c:ser>
        <c:ser>
          <c:idx val="1"/>
          <c:order val="1"/>
          <c:tx>
            <c:strRef>
              <c:f>NittyGrittySheet!$A$96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NittyGrittySheet!$B$96:$I$96</c:f>
              <c:numCache>
                <c:formatCode>General</c:formatCode>
                <c:ptCount val="8"/>
                <c:pt idx="0">
                  <c:v>62.0</c:v>
                </c:pt>
                <c:pt idx="1">
                  <c:v>65.0</c:v>
                </c:pt>
                <c:pt idx="2">
                  <c:v>64.0</c:v>
                </c:pt>
                <c:pt idx="3">
                  <c:v>64.0</c:v>
                </c:pt>
                <c:pt idx="4">
                  <c:v>65.0</c:v>
                </c:pt>
                <c:pt idx="5">
                  <c:v>126.0</c:v>
                </c:pt>
                <c:pt idx="6">
                  <c:v>118.0</c:v>
                </c:pt>
                <c:pt idx="7">
                  <c:v>117.0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B-4C0A-B49D-CC12A88E67D4}"/>
            </c:ext>
          </c:extLst>
        </c:ser>
        <c:ser>
          <c:idx val="3"/>
          <c:order val="3"/>
          <c:tx>
            <c:strRef>
              <c:f>NittyGrittySheet!$A$98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NittyGrittySheet!$B$98:$I$98</c:f>
              <c:numCache>
                <c:formatCode>General</c:formatCode>
                <c:ptCount val="8"/>
                <c:pt idx="0">
                  <c:v>184.0</c:v>
                </c:pt>
                <c:pt idx="1">
                  <c:v>180.0</c:v>
                </c:pt>
                <c:pt idx="2">
                  <c:v>180.0</c:v>
                </c:pt>
                <c:pt idx="3">
                  <c:v>180.0</c:v>
                </c:pt>
                <c:pt idx="4">
                  <c:v>180.0</c:v>
                </c:pt>
                <c:pt idx="5">
                  <c:v>118.0</c:v>
                </c:pt>
                <c:pt idx="6">
                  <c:v>118.0</c:v>
                </c:pt>
                <c:pt idx="7">
                  <c:v>117.0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B-4C0A-B49D-CC12A88E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NittyGrittySheet!$A$97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NittyGrittySheet!$B$97:$AL$97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BB-4C0A-B49D-CC12A88E67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NittyGrittySheet!$A$99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NittyGrittySheet!$B$99:$AL$99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BB-4C0A-B49D-CC12A88E67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NittyGrittySheet!$B$100:$AL$100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BB-4C0A-B49D-CC12A88E67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NittyGrittySheet!$B$101:$AL$101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BB-4C0A-B49D-CC12A88E67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NittyGrittySheet!$B$102:$AL$102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BB-4C0A-B49D-CC12A88E67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NittyGrittySheet!$B$103:$AL$103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BB-4C0A-B49D-CC12A88E67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NittyGrittySheet!$B$104:$AL$104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14</c:v>
                      </c:pt>
                      <c:pt idx="25">
                        <c:v>14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13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BB-4C0A-B49D-CC12A88E67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NittyGrittySheet!$B$105:$AL$105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301</c:v>
                      </c:pt>
                      <c:pt idx="1">
                        <c:v>301</c:v>
                      </c:pt>
                      <c:pt idx="2">
                        <c:v>300</c:v>
                      </c:pt>
                      <c:pt idx="3">
                        <c:v>299</c:v>
                      </c:pt>
                      <c:pt idx="4">
                        <c:v>299</c:v>
                      </c:pt>
                      <c:pt idx="5">
                        <c:v>276</c:v>
                      </c:pt>
                      <c:pt idx="6">
                        <c:v>276</c:v>
                      </c:pt>
                      <c:pt idx="7">
                        <c:v>276</c:v>
                      </c:pt>
                      <c:pt idx="8">
                        <c:v>275</c:v>
                      </c:pt>
                      <c:pt idx="9">
                        <c:v>267</c:v>
                      </c:pt>
                      <c:pt idx="10">
                        <c:v>266</c:v>
                      </c:pt>
                      <c:pt idx="11">
                        <c:v>266</c:v>
                      </c:pt>
                      <c:pt idx="12">
                        <c:v>266</c:v>
                      </c:pt>
                      <c:pt idx="13">
                        <c:v>266</c:v>
                      </c:pt>
                      <c:pt idx="14">
                        <c:v>266</c:v>
                      </c:pt>
                      <c:pt idx="15">
                        <c:v>266</c:v>
                      </c:pt>
                      <c:pt idx="16">
                        <c:v>265</c:v>
                      </c:pt>
                      <c:pt idx="17">
                        <c:v>263</c:v>
                      </c:pt>
                      <c:pt idx="18">
                        <c:v>262</c:v>
                      </c:pt>
                      <c:pt idx="19">
                        <c:v>261</c:v>
                      </c:pt>
                      <c:pt idx="20">
                        <c:v>261</c:v>
                      </c:pt>
                      <c:pt idx="21">
                        <c:v>260</c:v>
                      </c:pt>
                      <c:pt idx="22">
                        <c:v>260</c:v>
                      </c:pt>
                      <c:pt idx="23">
                        <c:v>259</c:v>
                      </c:pt>
                      <c:pt idx="24">
                        <c:v>259</c:v>
                      </c:pt>
                      <c:pt idx="25">
                        <c:v>259</c:v>
                      </c:pt>
                      <c:pt idx="26">
                        <c:v>254</c:v>
                      </c:pt>
                      <c:pt idx="27">
                        <c:v>254</c:v>
                      </c:pt>
                      <c:pt idx="28">
                        <c:v>254</c:v>
                      </c:pt>
                      <c:pt idx="29">
                        <c:v>254</c:v>
                      </c:pt>
                      <c:pt idx="30">
                        <c:v>253</c:v>
                      </c:pt>
                      <c:pt idx="31">
                        <c:v>253</c:v>
                      </c:pt>
                      <c:pt idx="32">
                        <c:v>251</c:v>
                      </c:pt>
                      <c:pt idx="33">
                        <c:v>249</c:v>
                      </c:pt>
                      <c:pt idx="34">
                        <c:v>248</c:v>
                      </c:pt>
                      <c:pt idx="35">
                        <c:v>233</c:v>
                      </c:pt>
                      <c:pt idx="36">
                        <c:v>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BB-4C0A-B49D-CC12A88E67D4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BSGSCM!$O$24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BSGSCM!$O$25:$O$38</c:f>
              <c:numCache>
                <c:formatCode>0.00%</c:formatCode>
                <c:ptCount val="14"/>
                <c:pt idx="2">
                  <c:v>0.2361</c:v>
                </c:pt>
                <c:pt idx="3">
                  <c:v>0.2778</c:v>
                </c:pt>
                <c:pt idx="4">
                  <c:v>0.3673</c:v>
                </c:pt>
                <c:pt idx="5">
                  <c:v>0.4648</c:v>
                </c:pt>
                <c:pt idx="6">
                  <c:v>0.5401</c:v>
                </c:pt>
                <c:pt idx="7">
                  <c:v>0.6176</c:v>
                </c:pt>
                <c:pt idx="8">
                  <c:v>0.7937</c:v>
                </c:pt>
                <c:pt idx="9">
                  <c:v>0.84</c:v>
                </c:pt>
                <c:pt idx="10">
                  <c:v>0.9167000000000001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8-4611-9B01-42D3E28DD37B}"/>
            </c:ext>
          </c:extLst>
        </c:ser>
        <c:ser>
          <c:idx val="2"/>
          <c:order val="1"/>
          <c:tx>
            <c:strRef>
              <c:f>BSGSCM!$P$24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BSGSCM!$P$25:$P$38</c:f>
              <c:numCache>
                <c:formatCode>0.00%</c:formatCode>
                <c:ptCount val="14"/>
                <c:pt idx="0">
                  <c:v>0.11711711711711711</c:v>
                </c:pt>
                <c:pt idx="1">
                  <c:v>0.11711711711711711</c:v>
                </c:pt>
                <c:pt idx="2">
                  <c:v>0.15315315315315314</c:v>
                </c:pt>
                <c:pt idx="3">
                  <c:v>0.34234234234234234</c:v>
                </c:pt>
                <c:pt idx="4">
                  <c:v>0.36936936936936937</c:v>
                </c:pt>
                <c:pt idx="5">
                  <c:v>0.4594594594594595</c:v>
                </c:pt>
                <c:pt idx="6">
                  <c:v>0.5135135135135135</c:v>
                </c:pt>
                <c:pt idx="7">
                  <c:v>0.6216216216216216</c:v>
                </c:pt>
                <c:pt idx="8">
                  <c:v>0.7927927927927928</c:v>
                </c:pt>
                <c:pt idx="9">
                  <c:v>0.8108108108108109</c:v>
                </c:pt>
                <c:pt idx="10">
                  <c:v>0.8648648648648649</c:v>
                </c:pt>
                <c:pt idx="11">
                  <c:v>0.9279279279279279</c:v>
                </c:pt>
                <c:pt idx="12">
                  <c:v>0.9279279279279279</c:v>
                </c:pt>
                <c:pt idx="13">
                  <c:v>0.963963963963964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EA8-4611-9B01-42D3E28DD37B}"/>
            </c:ext>
          </c:extLst>
        </c:ser>
        <c:ser>
          <c:idx val="3"/>
          <c:order val="2"/>
          <c:tx>
            <c:strRef>
              <c:f>BSGSCM!$Q$24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BSGSCM!$Q$25:$Q$38</c:f>
              <c:numCache>
                <c:formatCode>0.00%</c:formatCode>
                <c:ptCount val="14"/>
                <c:pt idx="0">
                  <c:v>0.15384615384615385</c:v>
                </c:pt>
                <c:pt idx="1">
                  <c:v>0.28846153846153844</c:v>
                </c:pt>
                <c:pt idx="2">
                  <c:v>0.375</c:v>
                </c:pt>
                <c:pt idx="3">
                  <c:v>0.46153846153846156</c:v>
                </c:pt>
                <c:pt idx="4">
                  <c:v>0.5096153846153846</c:v>
                </c:pt>
                <c:pt idx="5">
                  <c:v>0.6634615384615384</c:v>
                </c:pt>
                <c:pt idx="6">
                  <c:v>0.7403846153846154</c:v>
                </c:pt>
                <c:pt idx="7">
                  <c:v>0.8076923076923077</c:v>
                </c:pt>
                <c:pt idx="8">
                  <c:v>0.8461538461538461</c:v>
                </c:pt>
                <c:pt idx="9">
                  <c:v>0.8942307692307693</c:v>
                </c:pt>
                <c:pt idx="10">
                  <c:v>0.9230769230769231</c:v>
                </c:pt>
                <c:pt idx="11">
                  <c:v>0.9423076923076923</c:v>
                </c:pt>
                <c:pt idx="12">
                  <c:v>0.9423076923076923</c:v>
                </c:pt>
                <c:pt idx="13">
                  <c:v>0.9519230769230769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8-4611-9B01-42D3E28DD37B}"/>
            </c:ext>
          </c:extLst>
        </c:ser>
        <c:ser>
          <c:idx val="4"/>
          <c:order val="3"/>
          <c:tx>
            <c:strRef>
              <c:f>BSGSCM!$R$24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BSGSCM!$R$25:$R$38</c:f>
              <c:numCache>
                <c:formatCode>0.00%</c:formatCode>
                <c:ptCount val="14"/>
                <c:pt idx="0">
                  <c:v>0.18055555555555555</c:v>
                </c:pt>
                <c:pt idx="1">
                  <c:v>0.2361111111111111</c:v>
                </c:pt>
                <c:pt idx="2">
                  <c:v>0.4305555555555556</c:v>
                </c:pt>
                <c:pt idx="3">
                  <c:v>0.6111111111111112</c:v>
                </c:pt>
                <c:pt idx="4">
                  <c:v>0.6805555555555556</c:v>
                </c:pt>
                <c:pt idx="5">
                  <c:v>0.7083333333333334</c:v>
                </c:pt>
                <c:pt idx="6">
                  <c:v>0.7222222222222222</c:v>
                </c:pt>
                <c:pt idx="7">
                  <c:v>0.875</c:v>
                </c:pt>
                <c:pt idx="8">
                  <c:v>0.9027777777777778</c:v>
                </c:pt>
                <c:pt idx="9">
                  <c:v>0.9166666666666666</c:v>
                </c:pt>
                <c:pt idx="10">
                  <c:v>0.9583333333333334</c:v>
                </c:pt>
                <c:pt idx="11">
                  <c:v>0.9722222222222222</c:v>
                </c:pt>
                <c:pt idx="12">
                  <c:v>0.9861111111111112</c:v>
                </c:pt>
                <c:pt idx="13">
                  <c:v>0.9861111111111112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EA8-4611-9B01-42D3E28DD37B}"/>
            </c:ext>
          </c:extLst>
        </c:ser>
        <c:ser>
          <c:idx val="5"/>
          <c:order val="4"/>
          <c:tx>
            <c:strRef>
              <c:f>BSGSCM!$S$24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BSGSCM!$S$25:$S$38</c:f>
              <c:numCache>
                <c:formatCode>0.00%</c:formatCode>
                <c:ptCount val="14"/>
                <c:pt idx="0">
                  <c:v>0.189873417721519</c:v>
                </c:pt>
                <c:pt idx="1">
                  <c:v>0.3924050632911392</c:v>
                </c:pt>
                <c:pt idx="2">
                  <c:v>0.5569620253164557</c:v>
                </c:pt>
                <c:pt idx="3">
                  <c:v>0.6962025316455697</c:v>
                </c:pt>
                <c:pt idx="4">
                  <c:v>0.7848101265822784</c:v>
                </c:pt>
                <c:pt idx="5">
                  <c:v>0.810126582278481</c:v>
                </c:pt>
                <c:pt idx="6">
                  <c:v>0.8734177215189873</c:v>
                </c:pt>
                <c:pt idx="7">
                  <c:v>0.9113924050632911</c:v>
                </c:pt>
                <c:pt idx="8">
                  <c:v>0.9746835443037974</c:v>
                </c:pt>
                <c:pt idx="9">
                  <c:v>0.9873417721518988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A8-4611-9B01-42D3E28DD37B}"/>
            </c:ext>
          </c:extLst>
        </c:ser>
        <c:ser>
          <c:idx val="0"/>
          <c:order val="5"/>
          <c:tx>
            <c:strRef>
              <c:f>BSGSCM!$N$24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8-4611-9B01-42D3E28D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NittyGrittySheet!$A$109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NittyGrittySheet!$B$108:$I$108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NittyGrittySheet!$B$109:$I$109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4-4555-8C94-878116AB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NittyGrittySheet!$A$112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NittyGrittySheet!$B$112:$I$112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C-47B8-9F4C-51072C1D1F36}"/>
            </c:ext>
          </c:extLst>
        </c:ser>
        <c:ser>
          <c:idx val="1"/>
          <c:order val="1"/>
          <c:tx>
            <c:strRef>
              <c:f>NittyGrittySheet!$A$113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NittyGrittySheet!$B$113:$I$113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C-47B8-9F4C-51072C1D1F36}"/>
            </c:ext>
          </c:extLst>
        </c:ser>
        <c:ser>
          <c:idx val="3"/>
          <c:order val="3"/>
          <c:tx>
            <c:strRef>
              <c:f>NittyGrittySheet!$A$115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NittyGrittySheet!$B$115:$I$115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C-47B8-9F4C-51072C1D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NittyGrittySheet!$A$114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NittyGrittySheet!$B$114:$AL$114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8C-47B8-9F4C-51072C1D1F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NittyGrittySheet!$A$116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NittyGrittySheet!$B$116:$AL$116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8C-47B8-9F4C-51072C1D1F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NittyGrittySheet!$A$117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NittyGrittySheet!$B$117:$AL$117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8C-47B8-9F4C-51072C1D1F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NittyGrittySheet!$A$118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NittyGrittySheet!$B$118:$AL$118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8C-47B8-9F4C-51072C1D1F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NittyGrittySheet!$B$119:$AL$119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8C-47B8-9F4C-51072C1D1F3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NittyGrittySheet!$B$120:$AL$120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8C-47B8-9F4C-51072C1D1F3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NittyGrittySheet!$B$121:$AL$121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8C-47B8-9F4C-51072C1D1F3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NittyGrittySheet!$A$122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NittyGrittySheet!$B$122:$AL$122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160</c:v>
                      </c:pt>
                      <c:pt idx="3">
                        <c:v>160</c:v>
                      </c:pt>
                      <c:pt idx="4">
                        <c:v>160</c:v>
                      </c:pt>
                      <c:pt idx="5">
                        <c:v>160</c:v>
                      </c:pt>
                      <c:pt idx="6">
                        <c:v>162</c:v>
                      </c:pt>
                      <c:pt idx="7">
                        <c:v>161</c:v>
                      </c:pt>
                      <c:pt idx="8">
                        <c:v>160</c:v>
                      </c:pt>
                      <c:pt idx="9">
                        <c:v>162</c:v>
                      </c:pt>
                      <c:pt idx="10">
                        <c:v>162</c:v>
                      </c:pt>
                      <c:pt idx="11">
                        <c:v>163</c:v>
                      </c:pt>
                      <c:pt idx="12">
                        <c:v>164</c:v>
                      </c:pt>
                      <c:pt idx="13">
                        <c:v>165</c:v>
                      </c:pt>
                      <c:pt idx="14">
                        <c:v>160</c:v>
                      </c:pt>
                      <c:pt idx="15">
                        <c:v>158</c:v>
                      </c:pt>
                      <c:pt idx="16">
                        <c:v>158</c:v>
                      </c:pt>
                      <c:pt idx="17">
                        <c:v>158</c:v>
                      </c:pt>
                      <c:pt idx="18">
                        <c:v>155</c:v>
                      </c:pt>
                      <c:pt idx="19">
                        <c:v>155</c:v>
                      </c:pt>
                      <c:pt idx="20">
                        <c:v>153</c:v>
                      </c:pt>
                      <c:pt idx="21">
                        <c:v>153</c:v>
                      </c:pt>
                      <c:pt idx="22">
                        <c:v>152</c:v>
                      </c:pt>
                      <c:pt idx="23">
                        <c:v>152</c:v>
                      </c:pt>
                      <c:pt idx="24">
                        <c:v>147</c:v>
                      </c:pt>
                      <c:pt idx="25">
                        <c:v>147</c:v>
                      </c:pt>
                      <c:pt idx="26">
                        <c:v>146</c:v>
                      </c:pt>
                      <c:pt idx="27">
                        <c:v>146</c:v>
                      </c:pt>
                      <c:pt idx="28">
                        <c:v>147</c:v>
                      </c:pt>
                      <c:pt idx="29">
                        <c:v>147</c:v>
                      </c:pt>
                      <c:pt idx="30">
                        <c:v>145</c:v>
                      </c:pt>
                      <c:pt idx="31">
                        <c:v>144</c:v>
                      </c:pt>
                      <c:pt idx="32">
                        <c:v>144</c:v>
                      </c:pt>
                      <c:pt idx="33">
                        <c:v>144</c:v>
                      </c:pt>
                      <c:pt idx="34">
                        <c:v>144</c:v>
                      </c:pt>
                      <c:pt idx="35">
                        <c:v>144</c:v>
                      </c:pt>
                      <c:pt idx="36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8C-47B8-9F4C-51072C1D1F36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BSHRM!$O$24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BSHRM!$O$25:$O$38</c:f>
              <c:numCache>
                <c:formatCode>0.00%</c:formatCode>
                <c:ptCount val="14"/>
                <c:pt idx="2">
                  <c:v>0.1515</c:v>
                </c:pt>
                <c:pt idx="3">
                  <c:v>0.1818</c:v>
                </c:pt>
                <c:pt idx="4">
                  <c:v>0.2464</c:v>
                </c:pt>
                <c:pt idx="5">
                  <c:v>0.3188</c:v>
                </c:pt>
                <c:pt idx="6">
                  <c:v>0.3433</c:v>
                </c:pt>
                <c:pt idx="7">
                  <c:v>0.3731</c:v>
                </c:pt>
                <c:pt idx="8">
                  <c:v>0.5156</c:v>
                </c:pt>
                <c:pt idx="9">
                  <c:v>0.629</c:v>
                </c:pt>
                <c:pt idx="10">
                  <c:v>0.6884999999999999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2D5-A3E6-26FDA0567A8F}"/>
            </c:ext>
          </c:extLst>
        </c:ser>
        <c:ser>
          <c:idx val="2"/>
          <c:order val="1"/>
          <c:tx>
            <c:strRef>
              <c:f>BSHRM!$P$24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BSHRM!$P$25:$P$38</c:f>
              <c:numCache>
                <c:formatCode>0.00%</c:formatCode>
                <c:ptCount val="14"/>
                <c:pt idx="0">
                  <c:v>0.16279069767441862</c:v>
                </c:pt>
                <c:pt idx="1">
                  <c:v>0.18604651162790697</c:v>
                </c:pt>
                <c:pt idx="2">
                  <c:v>0.23255813953488372</c:v>
                </c:pt>
                <c:pt idx="3">
                  <c:v>0.23255813953488372</c:v>
                </c:pt>
                <c:pt idx="4">
                  <c:v>0.2558139534883721</c:v>
                </c:pt>
                <c:pt idx="5">
                  <c:v>0.46511627906976744</c:v>
                </c:pt>
                <c:pt idx="6">
                  <c:v>0.5116279069767442</c:v>
                </c:pt>
                <c:pt idx="7">
                  <c:v>0.5813953488372093</c:v>
                </c:pt>
                <c:pt idx="8">
                  <c:v>0.5813953488372093</c:v>
                </c:pt>
                <c:pt idx="9">
                  <c:v>0.5813953488372093</c:v>
                </c:pt>
                <c:pt idx="10">
                  <c:v>0.6046511627906976</c:v>
                </c:pt>
                <c:pt idx="11">
                  <c:v>0.627906976744186</c:v>
                </c:pt>
                <c:pt idx="12">
                  <c:v>0.9767441860465116</c:v>
                </c:pt>
                <c:pt idx="13">
                  <c:v>0.9767441860465116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6BF-42D5-A3E6-26FDA0567A8F}"/>
            </c:ext>
          </c:extLst>
        </c:ser>
        <c:ser>
          <c:idx val="3"/>
          <c:order val="2"/>
          <c:tx>
            <c:strRef>
              <c:f>BSHRM!$Q$24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BSHRM!$Q$25:$Q$38</c:f>
              <c:numCache>
                <c:formatCode>0.00%</c:formatCode>
                <c:ptCount val="14"/>
                <c:pt idx="0">
                  <c:v>0.11363636363636363</c:v>
                </c:pt>
                <c:pt idx="1">
                  <c:v>0.13636363636363635</c:v>
                </c:pt>
                <c:pt idx="2">
                  <c:v>0.1590909090909091</c:v>
                </c:pt>
                <c:pt idx="3">
                  <c:v>0.2727272727272727</c:v>
                </c:pt>
                <c:pt idx="4">
                  <c:v>0.3181818181818182</c:v>
                </c:pt>
                <c:pt idx="5">
                  <c:v>0.3181818181818182</c:v>
                </c:pt>
                <c:pt idx="6">
                  <c:v>0.3181818181818182</c:v>
                </c:pt>
                <c:pt idx="7">
                  <c:v>0.36363636363636365</c:v>
                </c:pt>
                <c:pt idx="8">
                  <c:v>0.38636363636363635</c:v>
                </c:pt>
                <c:pt idx="9">
                  <c:v>0.4318181818181818</c:v>
                </c:pt>
                <c:pt idx="10">
                  <c:v>0.4772727272727273</c:v>
                </c:pt>
                <c:pt idx="11">
                  <c:v>0.9545454545454546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6BF-42D5-A3E6-26FDA0567A8F}"/>
            </c:ext>
          </c:extLst>
        </c:ser>
        <c:ser>
          <c:idx val="4"/>
          <c:order val="3"/>
          <c:tx>
            <c:strRef>
              <c:f>BSHRM!$R$24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BSHRM!$R$25:$R$38</c:f>
              <c:numCache>
                <c:formatCode>0.00%</c:formatCode>
                <c:ptCount val="14"/>
                <c:pt idx="0">
                  <c:v>0.023809523809523808</c:v>
                </c:pt>
                <c:pt idx="1">
                  <c:v>0.023809523809523808</c:v>
                </c:pt>
                <c:pt idx="2">
                  <c:v>0.07142857142857142</c:v>
                </c:pt>
                <c:pt idx="3">
                  <c:v>0.07142857142857142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0.19047619047619047</c:v>
                </c:pt>
                <c:pt idx="7">
                  <c:v>0.19047619047619047</c:v>
                </c:pt>
                <c:pt idx="8">
                  <c:v>0.19047619047619047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6BF-42D5-A3E6-26FDA0567A8F}"/>
            </c:ext>
          </c:extLst>
        </c:ser>
        <c:ser>
          <c:idx val="5"/>
          <c:order val="4"/>
          <c:tx>
            <c:strRef>
              <c:f>BSHRM!$S$24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BSHRM!$S$25:$S$38</c:f>
              <c:numCache>
                <c:formatCode>0.00%</c:formatCode>
                <c:ptCount val="14"/>
                <c:pt idx="0">
                  <c:v>0.12195121951219512</c:v>
                </c:pt>
                <c:pt idx="1">
                  <c:v>0.12195121951219512</c:v>
                </c:pt>
                <c:pt idx="2">
                  <c:v>0.24390243902439024</c:v>
                </c:pt>
                <c:pt idx="3">
                  <c:v>0.2926829268292683</c:v>
                </c:pt>
                <c:pt idx="4">
                  <c:v>0.2926829268292683</c:v>
                </c:pt>
                <c:pt idx="5">
                  <c:v>0.3170731707317073</c:v>
                </c:pt>
                <c:pt idx="6">
                  <c:v>0.3902439024390244</c:v>
                </c:pt>
                <c:pt idx="7">
                  <c:v>0.43902439024390244</c:v>
                </c:pt>
                <c:pt idx="8">
                  <c:v>0.4878048780487805</c:v>
                </c:pt>
                <c:pt idx="9">
                  <c:v>0.4878048780487805</c:v>
                </c:pt>
                <c:pt idx="10">
                  <c:v>0.6585365853658537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6BF-42D5-A3E6-26FDA0567A8F}"/>
            </c:ext>
          </c:extLst>
        </c:ser>
        <c:ser>
          <c:idx val="0"/>
          <c:order val="5"/>
          <c:tx>
            <c:strRef>
              <c:f>BSHRM!$N$24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BF-42D5-A3E6-26FDA056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NittyGrittySheet!$A$126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NittyGrittySheet!$B$125:$I$125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NittyGrittySheet!$B$126:$I$126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89-959E-B1C9C18A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NittyGrittySheet!$A$129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NittyGrittySheet!$B$129:$I$129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3-46E7-B905-CBCBC5382D83}"/>
            </c:ext>
          </c:extLst>
        </c:ser>
        <c:ser>
          <c:idx val="1"/>
          <c:order val="1"/>
          <c:tx>
            <c:strRef>
              <c:f>NittyGrittySheet!$A$130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NittyGrittySheet!$B$130:$I$130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3-46E7-B905-CBCBC5382D83}"/>
            </c:ext>
          </c:extLst>
        </c:ser>
        <c:ser>
          <c:idx val="3"/>
          <c:order val="3"/>
          <c:tx>
            <c:strRef>
              <c:f>NittyGrittySheet!$A$132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NittyGrittySheet!$B$132:$I$132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3-46E7-B905-CBCBC538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NittyGrittySheet!$A$131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NittyGrittySheet!$B$131:$AL$131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3-46E7-B905-CBCBC5382D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NittyGrittySheet!$A$133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NittyGrittySheet!$B$133:$AL$133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D3-46E7-B905-CBCBC5382D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NittyGrittySheet!$A$134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NittyGrittySheet!$B$134:$AL$134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D3-46E7-B905-CBCBC5382D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NittyGrittySheet!$A$135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NittyGrittySheet!$B$135:$AL$135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D3-46E7-B905-CBCBC5382D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NittyGrittySheet!$B$136:$AL$136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D3-46E7-B905-CBCBC5382D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NittyGrittySheet!$B$137:$AL$137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D3-46E7-B905-CBCBC5382D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NittyGrittySheet!$B$138:$AL$138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D3-46E7-B905-CBCBC5382D8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NittyGrittySheet!$A$139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NittyGrittySheet!$B$139:$AL$139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70</c:v>
                      </c:pt>
                      <c:pt idx="1">
                        <c:v>69</c:v>
                      </c:pt>
                      <c:pt idx="2">
                        <c:v>70</c:v>
                      </c:pt>
                      <c:pt idx="3">
                        <c:v>70</c:v>
                      </c:pt>
                      <c:pt idx="4">
                        <c:v>70</c:v>
                      </c:pt>
                      <c:pt idx="5">
                        <c:v>70</c:v>
                      </c:pt>
                      <c:pt idx="6">
                        <c:v>70</c:v>
                      </c:pt>
                      <c:pt idx="7">
                        <c:v>70</c:v>
                      </c:pt>
                      <c:pt idx="8">
                        <c:v>72</c:v>
                      </c:pt>
                      <c:pt idx="9">
                        <c:v>73</c:v>
                      </c:pt>
                      <c:pt idx="10">
                        <c:v>73</c:v>
                      </c:pt>
                      <c:pt idx="11">
                        <c:v>73</c:v>
                      </c:pt>
                      <c:pt idx="12">
                        <c:v>73</c:v>
                      </c:pt>
                      <c:pt idx="13">
                        <c:v>74</c:v>
                      </c:pt>
                      <c:pt idx="14">
                        <c:v>74</c:v>
                      </c:pt>
                      <c:pt idx="15">
                        <c:v>74</c:v>
                      </c:pt>
                      <c:pt idx="16">
                        <c:v>74</c:v>
                      </c:pt>
                      <c:pt idx="17">
                        <c:v>73</c:v>
                      </c:pt>
                      <c:pt idx="18">
                        <c:v>73</c:v>
                      </c:pt>
                      <c:pt idx="19">
                        <c:v>73</c:v>
                      </c:pt>
                      <c:pt idx="20">
                        <c:v>73</c:v>
                      </c:pt>
                      <c:pt idx="21">
                        <c:v>73</c:v>
                      </c:pt>
                      <c:pt idx="22">
                        <c:v>73</c:v>
                      </c:pt>
                      <c:pt idx="23">
                        <c:v>73</c:v>
                      </c:pt>
                      <c:pt idx="24">
                        <c:v>73</c:v>
                      </c:pt>
                      <c:pt idx="25">
                        <c:v>72</c:v>
                      </c:pt>
                      <c:pt idx="26">
                        <c:v>72</c:v>
                      </c:pt>
                      <c:pt idx="27">
                        <c:v>72</c:v>
                      </c:pt>
                      <c:pt idx="28">
                        <c:v>72</c:v>
                      </c:pt>
                      <c:pt idx="29">
                        <c:v>72</c:v>
                      </c:pt>
                      <c:pt idx="30">
                        <c:v>71</c:v>
                      </c:pt>
                      <c:pt idx="31">
                        <c:v>71</c:v>
                      </c:pt>
                      <c:pt idx="32">
                        <c:v>71</c:v>
                      </c:pt>
                      <c:pt idx="33">
                        <c:v>71</c:v>
                      </c:pt>
                      <c:pt idx="34">
                        <c:v>71</c:v>
                      </c:pt>
                      <c:pt idx="35">
                        <c:v>70</c:v>
                      </c:pt>
                      <c:pt idx="36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D3-46E7-B905-CBCBC5382D83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BSIS!$O$24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BSIS!$O$25:$O$38</c:f>
              <c:numCache>
                <c:formatCode>0.00%</c:formatCode>
                <c:ptCount val="14"/>
                <c:pt idx="2">
                  <c:v>0.2264</c:v>
                </c:pt>
                <c:pt idx="3">
                  <c:v>0.3007</c:v>
                </c:pt>
                <c:pt idx="4">
                  <c:v>0.338</c:v>
                </c:pt>
                <c:pt idx="5">
                  <c:v>0.4234</c:v>
                </c:pt>
                <c:pt idx="6">
                  <c:v>0.5391</c:v>
                </c:pt>
                <c:pt idx="7">
                  <c:v>0.6303</c:v>
                </c:pt>
                <c:pt idx="8">
                  <c:v>0.6917</c:v>
                </c:pt>
                <c:pt idx="9">
                  <c:v>0.7981999999999999</c:v>
                </c:pt>
                <c:pt idx="10">
                  <c:v>0.8411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8-4422-98F2-4FDC5532DE75}"/>
            </c:ext>
          </c:extLst>
        </c:ser>
        <c:ser>
          <c:idx val="2"/>
          <c:order val="1"/>
          <c:tx>
            <c:strRef>
              <c:f>BSIS!$P$24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BSIS!$P$25:$P$38</c:f>
              <c:numCache>
                <c:formatCode>0.00%</c:formatCode>
                <c:ptCount val="14"/>
                <c:pt idx="0">
                  <c:v>0.04</c:v>
                </c:pt>
                <c:pt idx="1">
                  <c:v>0.06</c:v>
                </c:pt>
                <c:pt idx="2">
                  <c:v>0.1</c:v>
                </c:pt>
                <c:pt idx="3">
                  <c:v>0.12</c:v>
                </c:pt>
                <c:pt idx="4">
                  <c:v>0.17</c:v>
                </c:pt>
                <c:pt idx="5">
                  <c:v>0.27</c:v>
                </c:pt>
                <c:pt idx="6">
                  <c:v>0.32</c:v>
                </c:pt>
                <c:pt idx="7">
                  <c:v>0.44</c:v>
                </c:pt>
                <c:pt idx="8">
                  <c:v>0.55</c:v>
                </c:pt>
                <c:pt idx="9">
                  <c:v>0.77</c:v>
                </c:pt>
                <c:pt idx="10">
                  <c:v>0.84</c:v>
                </c:pt>
                <c:pt idx="11">
                  <c:v>0.88</c:v>
                </c:pt>
                <c:pt idx="12">
                  <c:v>0.91</c:v>
                </c:pt>
                <c:pt idx="13">
                  <c:v>0.92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F8-4422-98F2-4FDC5532DE75}"/>
            </c:ext>
          </c:extLst>
        </c:ser>
        <c:ser>
          <c:idx val="3"/>
          <c:order val="2"/>
          <c:tx>
            <c:strRef>
              <c:f>BSIS!$Q$24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BSIS!$Q$25:$Q$38</c:f>
              <c:numCache>
                <c:formatCode>0.00%</c:formatCode>
                <c:ptCount val="14"/>
                <c:pt idx="0">
                  <c:v>0.07058823529411765</c:v>
                </c:pt>
                <c:pt idx="1">
                  <c:v>0.11764705882352941</c:v>
                </c:pt>
                <c:pt idx="2">
                  <c:v>0.17647058823529413</c:v>
                </c:pt>
                <c:pt idx="3">
                  <c:v>0.18823529411764706</c:v>
                </c:pt>
                <c:pt idx="4">
                  <c:v>0.2235294117647059</c:v>
                </c:pt>
                <c:pt idx="5">
                  <c:v>0.3176470588235294</c:v>
                </c:pt>
                <c:pt idx="6">
                  <c:v>0.4117647058823529</c:v>
                </c:pt>
                <c:pt idx="7">
                  <c:v>0.4588235294117647</c:v>
                </c:pt>
                <c:pt idx="8">
                  <c:v>0.49411764705882355</c:v>
                </c:pt>
                <c:pt idx="9">
                  <c:v>0.5058823529411764</c:v>
                </c:pt>
                <c:pt idx="10">
                  <c:v>0.5294117647058824</c:v>
                </c:pt>
                <c:pt idx="11">
                  <c:v>0.7058823529411765</c:v>
                </c:pt>
                <c:pt idx="12">
                  <c:v>0.7411764705882353</c:v>
                </c:pt>
                <c:pt idx="13">
                  <c:v>0.7411764705882353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F8-4422-98F2-4FDC5532DE75}"/>
            </c:ext>
          </c:extLst>
        </c:ser>
        <c:ser>
          <c:idx val="4"/>
          <c:order val="3"/>
          <c:tx>
            <c:strRef>
              <c:f>BSIS!$R$24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BSIS!$R$25:$R$38</c:f>
              <c:numCache>
                <c:formatCode>0.00%</c:formatCode>
                <c:ptCount val="14"/>
                <c:pt idx="0">
                  <c:v>0.06818181818181818</c:v>
                </c:pt>
                <c:pt idx="1">
                  <c:v>0.13636363636363635</c:v>
                </c:pt>
                <c:pt idx="2">
                  <c:v>0.18181818181818182</c:v>
                </c:pt>
                <c:pt idx="3">
                  <c:v>0.26136363636363635</c:v>
                </c:pt>
                <c:pt idx="4">
                  <c:v>0.2840909090909091</c:v>
                </c:pt>
                <c:pt idx="5">
                  <c:v>0.29545454545454547</c:v>
                </c:pt>
                <c:pt idx="6">
                  <c:v>0.3181818181818182</c:v>
                </c:pt>
                <c:pt idx="7">
                  <c:v>0.3977272727272727</c:v>
                </c:pt>
                <c:pt idx="8">
                  <c:v>0.4318181818181818</c:v>
                </c:pt>
                <c:pt idx="9">
                  <c:v>0.6136363636363636</c:v>
                </c:pt>
                <c:pt idx="10">
                  <c:v>0.75</c:v>
                </c:pt>
                <c:pt idx="11">
                  <c:v>0.8977272727272727</c:v>
                </c:pt>
                <c:pt idx="12">
                  <c:v>0.9090909090909091</c:v>
                </c:pt>
                <c:pt idx="13">
                  <c:v>0.9090909090909091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F8-4422-98F2-4FDC5532DE75}"/>
            </c:ext>
          </c:extLst>
        </c:ser>
        <c:ser>
          <c:idx val="5"/>
          <c:order val="4"/>
          <c:tx>
            <c:strRef>
              <c:f>BSIS!$S$24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BSIS!$S$25:$S$38</c:f>
              <c:numCache>
                <c:formatCode>0.00%</c:formatCode>
                <c:ptCount val="14"/>
                <c:pt idx="0">
                  <c:v>0.02564102564102564</c:v>
                </c:pt>
                <c:pt idx="1">
                  <c:v>0.05128205128205128</c:v>
                </c:pt>
                <c:pt idx="2">
                  <c:v>0.11538461538461539</c:v>
                </c:pt>
                <c:pt idx="3">
                  <c:v>0.24358974358974358</c:v>
                </c:pt>
                <c:pt idx="4">
                  <c:v>0.2948717948717949</c:v>
                </c:pt>
                <c:pt idx="5">
                  <c:v>0.38461538461538464</c:v>
                </c:pt>
                <c:pt idx="6">
                  <c:v>0.41025641025641024</c:v>
                </c:pt>
                <c:pt idx="7">
                  <c:v>0.47435897435897434</c:v>
                </c:pt>
                <c:pt idx="8">
                  <c:v>0.5641025641025641</c:v>
                </c:pt>
                <c:pt idx="9">
                  <c:v>0.6153846153846154</c:v>
                </c:pt>
                <c:pt idx="10">
                  <c:v>0.6923076923076923</c:v>
                </c:pt>
                <c:pt idx="11">
                  <c:v>0.9102564102564102</c:v>
                </c:pt>
                <c:pt idx="12">
                  <c:v>0.9230769230769231</c:v>
                </c:pt>
                <c:pt idx="13">
                  <c:v>0.9230769230769231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F8-4422-98F2-4FDC5532DE75}"/>
            </c:ext>
          </c:extLst>
        </c:ser>
        <c:ser>
          <c:idx val="0"/>
          <c:order val="5"/>
          <c:tx>
            <c:strRef>
              <c:f>BSIS!$N$24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F8-4422-98F2-4FDC5532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NittyGrittySheet!$A$143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NittyGrittySheet!$B$142:$I$142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NittyGrittySheet!$B$143:$I$143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FE-8C81-ECE94EB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NittyGrittySheet!$A$146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NittyGrittySheet!$B$146:$I$146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A1B-A785-F4FC793693D1}"/>
            </c:ext>
          </c:extLst>
        </c:ser>
        <c:ser>
          <c:idx val="1"/>
          <c:order val="1"/>
          <c:tx>
            <c:strRef>
              <c:f>NittyGrittySheet!$A$147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NittyGrittySheet!$B$147:$I$147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A1B-A785-F4FC793693D1}"/>
            </c:ext>
          </c:extLst>
        </c:ser>
        <c:ser>
          <c:idx val="3"/>
          <c:order val="3"/>
          <c:tx>
            <c:strRef>
              <c:f>NittyGrittySheet!$A$149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NittyGrittySheet!$B$149:$I$149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A1B-A785-F4FC7936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NittyGrittySheet!$A$148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NittyGrittySheet!$B$148:$AL$148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7BA-4A1B-A785-F4FC793693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NittyGrittySheet!$A$150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NittyGrittySheet!$B$150:$AL$150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17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20</c:v>
                      </c:pt>
                      <c:pt idx="28">
                        <c:v>21</c:v>
                      </c:pt>
                      <c:pt idx="29">
                        <c:v>21</c:v>
                      </c:pt>
                      <c:pt idx="30">
                        <c:v>21</c:v>
                      </c:pt>
                      <c:pt idx="31">
                        <c:v>21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22</c:v>
                      </c:pt>
                      <c:pt idx="35">
                        <c:v>22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BA-4A1B-A785-F4FC793693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NittyGrittySheet!$A$151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NittyGrittySheet!$B$151:$AL$151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BA-4A1B-A785-F4FC793693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NittyGrittySheet!$A$152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NittyGrittySheet!$B$152:$AL$152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15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17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BA-4A1B-A785-F4FC793693D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NittyGrittySheet!$A$153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NittyGrittySheet!$B$153:$AL$153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13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BA-4A1B-A785-F4FC793693D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NittyGrittySheet!$A$154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NittyGrittySheet!$B$154:$AL$154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BA-4A1B-A785-F4FC793693D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NittyGrittySheet!$A$155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NittyGrittySheet!$B$155:$AL$155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BA-4A1B-A785-F4FC793693D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NittyGrittySheet!$A$156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NittyGrittySheet!$B$156:$AL$156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190</c:v>
                      </c:pt>
                      <c:pt idx="1">
                        <c:v>189</c:v>
                      </c:pt>
                      <c:pt idx="2">
                        <c:v>188</c:v>
                      </c:pt>
                      <c:pt idx="3">
                        <c:v>189</c:v>
                      </c:pt>
                      <c:pt idx="4">
                        <c:v>188</c:v>
                      </c:pt>
                      <c:pt idx="5">
                        <c:v>189</c:v>
                      </c:pt>
                      <c:pt idx="6">
                        <c:v>189</c:v>
                      </c:pt>
                      <c:pt idx="7">
                        <c:v>188</c:v>
                      </c:pt>
                      <c:pt idx="8">
                        <c:v>187</c:v>
                      </c:pt>
                      <c:pt idx="9">
                        <c:v>191</c:v>
                      </c:pt>
                      <c:pt idx="10">
                        <c:v>191</c:v>
                      </c:pt>
                      <c:pt idx="11">
                        <c:v>191</c:v>
                      </c:pt>
                      <c:pt idx="12">
                        <c:v>191</c:v>
                      </c:pt>
                      <c:pt idx="13">
                        <c:v>192</c:v>
                      </c:pt>
                      <c:pt idx="14">
                        <c:v>193</c:v>
                      </c:pt>
                      <c:pt idx="15">
                        <c:v>193</c:v>
                      </c:pt>
                      <c:pt idx="16">
                        <c:v>192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188</c:v>
                      </c:pt>
                      <c:pt idx="21">
                        <c:v>188</c:v>
                      </c:pt>
                      <c:pt idx="22">
                        <c:v>188</c:v>
                      </c:pt>
                      <c:pt idx="23">
                        <c:v>186</c:v>
                      </c:pt>
                      <c:pt idx="24">
                        <c:v>183</c:v>
                      </c:pt>
                      <c:pt idx="25">
                        <c:v>183</c:v>
                      </c:pt>
                      <c:pt idx="26">
                        <c:v>186</c:v>
                      </c:pt>
                      <c:pt idx="27">
                        <c:v>180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179</c:v>
                      </c:pt>
                      <c:pt idx="31">
                        <c:v>179</c:v>
                      </c:pt>
                      <c:pt idx="32">
                        <c:v>176</c:v>
                      </c:pt>
                      <c:pt idx="33">
                        <c:v>176</c:v>
                      </c:pt>
                      <c:pt idx="34">
                        <c:v>176</c:v>
                      </c:pt>
                      <c:pt idx="35">
                        <c:v>176</c:v>
                      </c:pt>
                      <c:pt idx="36">
                        <c:v>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BA-4A1B-A785-F4FC793693D1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BSBusM!$O$24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BSBusM!$O$25:$O$38</c:f>
              <c:numCache>
                <c:formatCode>0.00%</c:formatCode>
                <c:ptCount val="14"/>
                <c:pt idx="2">
                  <c:v>0.2319</c:v>
                </c:pt>
                <c:pt idx="3">
                  <c:v>0.2727</c:v>
                </c:pt>
                <c:pt idx="4">
                  <c:v>0.2879</c:v>
                </c:pt>
                <c:pt idx="5">
                  <c:v>0.3651</c:v>
                </c:pt>
                <c:pt idx="6">
                  <c:v>0.36065573770491804</c:v>
                </c:pt>
                <c:pt idx="7">
                  <c:v>0.4423</c:v>
                </c:pt>
                <c:pt idx="8">
                  <c:v>0.5227</c:v>
                </c:pt>
                <c:pt idx="9">
                  <c:v>0.6429</c:v>
                </c:pt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C03-A174-61D48A0E5E67}"/>
            </c:ext>
          </c:extLst>
        </c:ser>
        <c:ser>
          <c:idx val="2"/>
          <c:order val="1"/>
          <c:tx>
            <c:strRef>
              <c:f>BSBusM!$P$24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BSBusM!$P$25:$P$38</c:f>
              <c:numCache>
                <c:formatCode>0.00%</c:formatCode>
                <c:ptCount val="14"/>
                <c:pt idx="0">
                  <c:v>0.1111111111111111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0.2222222222222222</c:v>
                </c:pt>
                <c:pt idx="5">
                  <c:v>0.3888888888888889</c:v>
                </c:pt>
                <c:pt idx="6">
                  <c:v>0.3888888888888889</c:v>
                </c:pt>
                <c:pt idx="7">
                  <c:v>0.6111111111111112</c:v>
                </c:pt>
                <c:pt idx="8">
                  <c:v>0.6111111111111112</c:v>
                </c:pt>
                <c:pt idx="9">
                  <c:v>0.6111111111111112</c:v>
                </c:pt>
                <c:pt idx="10">
                  <c:v>0.6111111111111112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77-4C03-A174-61D48A0E5E67}"/>
            </c:ext>
          </c:extLst>
        </c:ser>
        <c:ser>
          <c:idx val="3"/>
          <c:order val="2"/>
          <c:tx>
            <c:strRef>
              <c:f>BSBusM!$Q$24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BSBusM!$Q$25:$Q$38</c:f>
              <c:numCache>
                <c:formatCode>0.00%</c:formatCode>
                <c:ptCount val="14"/>
                <c:pt idx="0">
                  <c:v>0.23809523809523808</c:v>
                </c:pt>
                <c:pt idx="1">
                  <c:v>0.23809523809523808</c:v>
                </c:pt>
                <c:pt idx="2">
                  <c:v>0.2857142857142857</c:v>
                </c:pt>
                <c:pt idx="3">
                  <c:v>0.3333333333333333</c:v>
                </c:pt>
                <c:pt idx="4">
                  <c:v>0.3333333333333333</c:v>
                </c:pt>
                <c:pt idx="5">
                  <c:v>0.5238095238095238</c:v>
                </c:pt>
                <c:pt idx="6">
                  <c:v>0.6190476190476191</c:v>
                </c:pt>
                <c:pt idx="7">
                  <c:v>0.7142857142857143</c:v>
                </c:pt>
                <c:pt idx="8">
                  <c:v>0.8095238095238095</c:v>
                </c:pt>
                <c:pt idx="9">
                  <c:v>0.9523809523809523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377-4C03-A174-61D48A0E5E67}"/>
            </c:ext>
          </c:extLst>
        </c:ser>
        <c:ser>
          <c:idx val="4"/>
          <c:order val="3"/>
          <c:tx>
            <c:strRef>
              <c:f>BSBusM!$R$24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BSBusM!$R$25:$R$38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0.20833333333333334</c:v>
                </c:pt>
                <c:pt idx="2">
                  <c:v>0.20833333333333334</c:v>
                </c:pt>
                <c:pt idx="3">
                  <c:v>0.20833333333333334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0.2916666666666667</c:v>
                </c:pt>
                <c:pt idx="7">
                  <c:v>0.3333333333333333</c:v>
                </c:pt>
                <c:pt idx="8">
                  <c:v>0.625</c:v>
                </c:pt>
                <c:pt idx="9">
                  <c:v>0.7916666666666666</c:v>
                </c:pt>
                <c:pt idx="10">
                  <c:v>0.7916666666666666</c:v>
                </c:pt>
                <c:pt idx="11">
                  <c:v>0.9166666666666666</c:v>
                </c:pt>
                <c:pt idx="12">
                  <c:v>0.9166666666666666</c:v>
                </c:pt>
                <c:pt idx="13">
                  <c:v>0.9583333333333334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377-4C03-A174-61D48A0E5E67}"/>
            </c:ext>
          </c:extLst>
        </c:ser>
        <c:ser>
          <c:idx val="5"/>
          <c:order val="4"/>
          <c:tx>
            <c:strRef>
              <c:f>BSBusM!$S$24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BSBusM!$S$25:$S$38</c:f>
              <c:numCache>
                <c:formatCode>0.00%</c:formatCode>
                <c:ptCount val="14"/>
                <c:pt idx="0">
                  <c:v>0.21052631578947367</c:v>
                </c:pt>
                <c:pt idx="1">
                  <c:v>0.21052631578947367</c:v>
                </c:pt>
                <c:pt idx="2">
                  <c:v>0.21052631578947367</c:v>
                </c:pt>
                <c:pt idx="3">
                  <c:v>0.2631578947368421</c:v>
                </c:pt>
                <c:pt idx="4">
                  <c:v>0.47368421052631576</c:v>
                </c:pt>
                <c:pt idx="5">
                  <c:v>0.5263157894736842</c:v>
                </c:pt>
                <c:pt idx="6">
                  <c:v>0.7368421052631579</c:v>
                </c:pt>
                <c:pt idx="7">
                  <c:v>0.8421052631578947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377-4C03-A174-61D48A0E5E67}"/>
            </c:ext>
          </c:extLst>
        </c:ser>
        <c:ser>
          <c:idx val="0"/>
          <c:order val="5"/>
          <c:tx>
            <c:strRef>
              <c:f>BSBusM!$N$24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7-4C03-A174-61D48A0E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NittyGrittySheet!$A$160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NittyGrittySheet!$B$159:$I$159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NittyGrittySheet!$B$160:$I$160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A0-9B7B-51280211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NittyGrittySheet!$A$163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NittyGrittySheet!$B$163:$I$163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4D2-A305-2DE38473BD51}"/>
            </c:ext>
          </c:extLst>
        </c:ser>
        <c:ser>
          <c:idx val="1"/>
          <c:order val="1"/>
          <c:tx>
            <c:strRef>
              <c:f>NittyGrittySheet!$A$164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NittyGrittySheet!$B$164:$I$164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4D2-A305-2DE38473BD51}"/>
            </c:ext>
          </c:extLst>
        </c:ser>
        <c:ser>
          <c:idx val="3"/>
          <c:order val="3"/>
          <c:tx>
            <c:strRef>
              <c:f>NittyGrittySheet!$A$166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NittyGrittySheet!$B$166:$I$166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4-49C1-A2EF-44D66B52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NittyGrittySheet!$A$165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NittyGrittySheet!$B$165:$AL$165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4-49C1-A2EF-44D66B52AE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NittyGrittySheet!$A$167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NittyGrittySheet!$B$167:$AL$167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12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54-49C1-A2EF-44D66B52AE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NittyGrittySheet!$A$168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NittyGrittySheet!$B$168:$AL$168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54-49C1-A2EF-44D66B52AE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NittyGrittySheet!$A$169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NittyGrittySheet!$B$169:$AL$169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12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15</c:v>
                      </c:pt>
                      <c:pt idx="3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54-49C1-A2EF-44D66B52AE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NittyGrittySheet!$A$170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NittyGrittySheet!$B$170:$AL$170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54-49C1-A2EF-44D66B52AE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NittyGrittySheet!$A$171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NittyGrittySheet!$B$171:$AL$171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54-49C1-A2EF-44D66B52AE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NittyGrittySheet!$A$172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NittyGrittySheet!$B$172:$AL$172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8</c:v>
                      </c:pt>
                      <c:pt idx="27">
                        <c:v>7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54-49C1-A2EF-44D66B52AE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NittyGrittySheet!$A$173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NittyGrittySheet!$B$173:$AL$173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82</c:v>
                      </c:pt>
                      <c:pt idx="3">
                        <c:v>82</c:v>
                      </c:pt>
                      <c:pt idx="4">
                        <c:v>82</c:v>
                      </c:pt>
                      <c:pt idx="5">
                        <c:v>81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88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87</c:v>
                      </c:pt>
                      <c:pt idx="22">
                        <c:v>87</c:v>
                      </c:pt>
                      <c:pt idx="23">
                        <c:v>87</c:v>
                      </c:pt>
                      <c:pt idx="24">
                        <c:v>85</c:v>
                      </c:pt>
                      <c:pt idx="25">
                        <c:v>84</c:v>
                      </c:pt>
                      <c:pt idx="26">
                        <c:v>84</c:v>
                      </c:pt>
                      <c:pt idx="27">
                        <c:v>81</c:v>
                      </c:pt>
                      <c:pt idx="28">
                        <c:v>81</c:v>
                      </c:pt>
                      <c:pt idx="29">
                        <c:v>81</c:v>
                      </c:pt>
                      <c:pt idx="30">
                        <c:v>80</c:v>
                      </c:pt>
                      <c:pt idx="31">
                        <c:v>80</c:v>
                      </c:pt>
                      <c:pt idx="32">
                        <c:v>80</c:v>
                      </c:pt>
                      <c:pt idx="33">
                        <c:v>80</c:v>
                      </c:pt>
                      <c:pt idx="34">
                        <c:v>80</c:v>
                      </c:pt>
                      <c:pt idx="35">
                        <c:v>81</c:v>
                      </c:pt>
                      <c:pt idx="36">
                        <c:v>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54-49C1-A2EF-44D66B52AE28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BSMktg!$O$24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0.3315</c:v>
                </c:pt>
                <c:pt idx="6">
                  <c:v>0.4431</c:v>
                </c:pt>
                <c:pt idx="7">
                  <c:v>0.6014</c:v>
                </c:pt>
                <c:pt idx="8">
                  <c:v>0.7258</c:v>
                </c:pt>
                <c:pt idx="9">
                  <c:v>0.7815000000000001</c:v>
                </c:pt>
                <c:pt idx="10">
                  <c:v>0.8223999999999999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121-8BE8-4205CABD6E27}"/>
            </c:ext>
          </c:extLst>
        </c:ser>
        <c:ser>
          <c:idx val="2"/>
          <c:order val="1"/>
          <c:tx>
            <c:strRef>
              <c:f>BSMktg!$P$24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0.9714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7F3-4121-8BE8-4205CABD6E27}"/>
            </c:ext>
          </c:extLst>
        </c:ser>
        <c:ser>
          <c:idx val="3"/>
          <c:order val="2"/>
          <c:tx>
            <c:strRef>
              <c:f>BSMktg!$Q$24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0.9895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F3-4121-8BE8-4205CABD6E27}"/>
            </c:ext>
          </c:extLst>
        </c:ser>
        <c:ser>
          <c:idx val="4"/>
          <c:order val="3"/>
          <c:tx>
            <c:strRef>
              <c:f>BSMktg!$R$24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7F3-4121-8BE8-4205CABD6E27}"/>
            </c:ext>
          </c:extLst>
        </c:ser>
        <c:ser>
          <c:idx val="5"/>
          <c:order val="4"/>
          <c:tx>
            <c:strRef>
              <c:f>BSMktg!$S$24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0.9885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7F3-4121-8BE8-4205CABD6E27}"/>
            </c:ext>
          </c:extLst>
        </c:ser>
        <c:ser>
          <c:idx val="0"/>
          <c:order val="5"/>
          <c:tx>
            <c:strRef>
              <c:f>BSMktg!$N$24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121-8BE8-4205CABD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NittyGrittySheet!$A$177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NittyGrittySheet!$B$176:$I$176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NittyGrittySheet!$B$177:$I$177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2-4DEE-821D-BAE7CD45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NittyGrittySheet!$A$180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NittyGrittySheet!$B$180:$I$180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FC2-AF05-935B1BBA3A6C}"/>
            </c:ext>
          </c:extLst>
        </c:ser>
        <c:ser>
          <c:idx val="1"/>
          <c:order val="1"/>
          <c:tx>
            <c:strRef>
              <c:f>NittyGrittySheet!$A$181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NittyGrittySheet!$B$181:$I$181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FC2-AF05-935B1BBA3A6C}"/>
            </c:ext>
          </c:extLst>
        </c:ser>
        <c:ser>
          <c:idx val="3"/>
          <c:order val="3"/>
          <c:tx>
            <c:strRef>
              <c:f>NittyGrittySheet!$A$183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NittyGrittySheet!$B$183:$I$183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FC2-AF05-935B1BBA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NittyGrittySheet!$A$182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NittyGrittySheet!$B$182:$AL$182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B1-4FC2-AF05-935B1BBA3A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NittyGrittySheet!$A$184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NittyGrittySheet!$B$184:$AL$184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1-4FC2-AF05-935B1BBA3A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NittyGrittySheet!$A$185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NittyGrittySheet!$B$185:$AL$185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1-4FC2-AF05-935B1BBA3A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NittyGrittySheet!$A$186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NittyGrittySheet!$B$186:$AL$186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5</c:v>
                      </c:pt>
                      <c:pt idx="23">
                        <c:v>10</c:v>
                      </c:pt>
                      <c:pt idx="24">
                        <c:v>19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17</c:v>
                      </c:pt>
                      <c:pt idx="28">
                        <c:v>19</c:v>
                      </c:pt>
                      <c:pt idx="29">
                        <c:v>19</c:v>
                      </c:pt>
                      <c:pt idx="30">
                        <c:v>18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15</c:v>
                      </c:pt>
                      <c:pt idx="35">
                        <c:v>14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1-4FC2-AF05-935B1BBA3A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NittyGrittySheet!$A$187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NittyGrittySheet!$B$187:$AL$187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9</c:v>
                      </c:pt>
                      <c:pt idx="34">
                        <c:v>9</c:v>
                      </c:pt>
                      <c:pt idx="35">
                        <c:v>9</c:v>
                      </c:pt>
                      <c:pt idx="36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1-4FC2-AF05-935B1BBA3A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NittyGrittySheet!$A$188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NittyGrittySheet!$B$188:$AL$188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B1-4FC2-AF05-935B1BBA3A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NittyGrittySheet!$A$189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NittyGrittySheet!$B$189:$AL$189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1-4FC2-AF05-935B1BBA3A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NittyGrittySheet!$A$190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NittyGrittySheet!$B$190:$AL$190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194</c:v>
                      </c:pt>
                      <c:pt idx="1">
                        <c:v>193</c:v>
                      </c:pt>
                      <c:pt idx="2">
                        <c:v>194</c:v>
                      </c:pt>
                      <c:pt idx="3">
                        <c:v>195</c:v>
                      </c:pt>
                      <c:pt idx="4">
                        <c:v>194</c:v>
                      </c:pt>
                      <c:pt idx="5">
                        <c:v>195</c:v>
                      </c:pt>
                      <c:pt idx="6">
                        <c:v>194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195</c:v>
                      </c:pt>
                      <c:pt idx="10">
                        <c:v>195</c:v>
                      </c:pt>
                      <c:pt idx="11">
                        <c:v>195</c:v>
                      </c:pt>
                      <c:pt idx="12">
                        <c:v>195</c:v>
                      </c:pt>
                      <c:pt idx="13">
                        <c:v>195</c:v>
                      </c:pt>
                      <c:pt idx="14">
                        <c:v>193</c:v>
                      </c:pt>
                      <c:pt idx="15">
                        <c:v>192</c:v>
                      </c:pt>
                      <c:pt idx="16">
                        <c:v>192</c:v>
                      </c:pt>
                      <c:pt idx="17">
                        <c:v>192</c:v>
                      </c:pt>
                      <c:pt idx="18">
                        <c:v>192</c:v>
                      </c:pt>
                      <c:pt idx="19">
                        <c:v>191</c:v>
                      </c:pt>
                      <c:pt idx="20">
                        <c:v>190</c:v>
                      </c:pt>
                      <c:pt idx="21">
                        <c:v>180</c:v>
                      </c:pt>
                      <c:pt idx="22">
                        <c:v>180</c:v>
                      </c:pt>
                      <c:pt idx="23">
                        <c:v>180</c:v>
                      </c:pt>
                      <c:pt idx="24">
                        <c:v>180</c:v>
                      </c:pt>
                      <c:pt idx="25">
                        <c:v>179</c:v>
                      </c:pt>
                      <c:pt idx="26">
                        <c:v>180</c:v>
                      </c:pt>
                      <c:pt idx="27">
                        <c:v>178</c:v>
                      </c:pt>
                      <c:pt idx="28">
                        <c:v>178</c:v>
                      </c:pt>
                      <c:pt idx="29">
                        <c:v>178</c:v>
                      </c:pt>
                      <c:pt idx="30">
                        <c:v>176</c:v>
                      </c:pt>
                      <c:pt idx="31">
                        <c:v>176</c:v>
                      </c:pt>
                      <c:pt idx="32">
                        <c:v>175</c:v>
                      </c:pt>
                      <c:pt idx="33">
                        <c:v>176</c:v>
                      </c:pt>
                      <c:pt idx="34">
                        <c:v>155</c:v>
                      </c:pt>
                      <c:pt idx="35">
                        <c:v>153</c:v>
                      </c:pt>
                      <c:pt idx="36">
                        <c:v>148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1-4FC2-AF05-935B1BBA3A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BSStrat!$O$24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0.3884</c:v>
                </c:pt>
                <c:pt idx="6">
                  <c:v>0.4138</c:v>
                </c:pt>
                <c:pt idx="7">
                  <c:v>0.4386</c:v>
                </c:pt>
                <c:pt idx="8">
                  <c:v>0.5534</c:v>
                </c:pt>
                <c:pt idx="9">
                  <c:v>0.6598</c:v>
                </c:pt>
                <c:pt idx="10">
                  <c:v>0.7976000000000001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E-440D-9003-B8F4B1E8981D}"/>
            </c:ext>
          </c:extLst>
        </c:ser>
        <c:ser>
          <c:idx val="2"/>
          <c:order val="1"/>
          <c:tx>
            <c:strRef>
              <c:f>BSStrat!$P$24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0.9523809523809523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8E-440D-9003-B8F4B1E8981D}"/>
            </c:ext>
          </c:extLst>
        </c:ser>
        <c:ser>
          <c:idx val="3"/>
          <c:order val="2"/>
          <c:tx>
            <c:strRef>
              <c:f>BSStrat!$Q$24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0.9368421052631579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48E-440D-9003-B8F4B1E8981D}"/>
            </c:ext>
          </c:extLst>
        </c:ser>
        <c:ser>
          <c:idx val="4"/>
          <c:order val="3"/>
          <c:tx>
            <c:strRef>
              <c:f>BSStrat!$R$24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0.8518518518518519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8E-440D-9003-B8F4B1E8981D}"/>
            </c:ext>
          </c:extLst>
        </c:ser>
        <c:ser>
          <c:idx val="5"/>
          <c:order val="4"/>
          <c:tx>
            <c:strRef>
              <c:f>BSStrat!$S$24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0.9310344827586207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8E-440D-9003-B8F4B1E8981D}"/>
            </c:ext>
          </c:extLst>
        </c:ser>
        <c:ser>
          <c:idx val="0"/>
          <c:order val="5"/>
          <c:tx>
            <c:strRef>
              <c:f>BSStrat!$N$24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8E-440D-9003-B8F4B1E8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</a:t>
            </a:r>
            <a:r>
              <a:rPr lang="en-US"/>
              <a:t>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NittyGrittySheet!$B$193:$I$193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NittyGrittySheet!$B$194:$I$194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27D-A091-C22FC2F6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NittyGrittySheet!$B$197:$I$197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3-465D-9FBB-89D530E8F1E7}"/>
            </c:ext>
          </c:extLst>
        </c:ser>
        <c:ser>
          <c:idx val="1"/>
          <c:order val="1"/>
          <c:tx>
            <c:strRef>
              <c:f>NittyGrittySheet!$A$198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NittyGrittySheet!$B$198:$I$198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3-465D-9FBB-89D530E8F1E7}"/>
            </c:ext>
          </c:extLst>
        </c:ser>
        <c:ser>
          <c:idx val="3"/>
          <c:order val="3"/>
          <c:tx>
            <c:strRef>
              <c:f>NittyGrittySheet!$A$200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NittyGrittySheet!$B$200:$I$200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3-465D-9FBB-89D530E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NittyGrittySheet!$A$199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NittyGrittySheet!$B$199:$AL$199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E3-465D-9FBB-89D530E8F1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NittyGrittySheet!$B$201:$AL$201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9</c:v>
                      </c:pt>
                      <c:pt idx="30">
                        <c:v>9</c:v>
                      </c:pt>
                      <c:pt idx="31">
                        <c:v>9</c:v>
                      </c:pt>
                      <c:pt idx="32">
                        <c:v>8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E3-465D-9FBB-89D530E8F1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NittyGrittySheet!$B$202:$AL$202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E3-465D-9FBB-89D530E8F1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NittyGrittySheet!$B$203:$AL$203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3</c:v>
                      </c:pt>
                      <c:pt idx="32">
                        <c:v>4</c:v>
                      </c:pt>
                      <c:pt idx="33">
                        <c:v>5</c:v>
                      </c:pt>
                      <c:pt idx="34">
                        <c:v>7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E3-465D-9FBB-89D530E8F1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NittyGrittySheet!$B$204:$AL$204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E3-465D-9FBB-89D530E8F1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NittyGrittySheet!$B$205:$AL$205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E3-465D-9FBB-89D530E8F1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NittyGrittySheet!$B$206:$AL$206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12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2">
                        <c:v>12</c:v>
                      </c:pt>
                      <c:pt idx="33">
                        <c:v>12</c:v>
                      </c:pt>
                      <c:pt idx="34">
                        <c:v>13</c:v>
                      </c:pt>
                      <c:pt idx="35">
                        <c:v>14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E3-465D-9FBB-89D530E8F1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NittyGrittySheet!$B$207:$AL$207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129</c:v>
                      </c:pt>
                      <c:pt idx="1">
                        <c:v>129</c:v>
                      </c:pt>
                      <c:pt idx="2">
                        <c:v>130</c:v>
                      </c:pt>
                      <c:pt idx="3">
                        <c:v>130</c:v>
                      </c:pt>
                      <c:pt idx="4">
                        <c:v>130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140</c:v>
                      </c:pt>
                      <c:pt idx="8">
                        <c:v>140</c:v>
                      </c:pt>
                      <c:pt idx="9">
                        <c:v>140</c:v>
                      </c:pt>
                      <c:pt idx="10">
                        <c:v>139</c:v>
                      </c:pt>
                      <c:pt idx="11">
                        <c:v>139</c:v>
                      </c:pt>
                      <c:pt idx="12">
                        <c:v>139</c:v>
                      </c:pt>
                      <c:pt idx="13">
                        <c:v>140</c:v>
                      </c:pt>
                      <c:pt idx="14">
                        <c:v>139</c:v>
                      </c:pt>
                      <c:pt idx="15">
                        <c:v>139</c:v>
                      </c:pt>
                      <c:pt idx="16">
                        <c:v>140</c:v>
                      </c:pt>
                      <c:pt idx="17">
                        <c:v>137</c:v>
                      </c:pt>
                      <c:pt idx="18">
                        <c:v>137</c:v>
                      </c:pt>
                      <c:pt idx="19">
                        <c:v>137</c:v>
                      </c:pt>
                      <c:pt idx="20">
                        <c:v>137</c:v>
                      </c:pt>
                      <c:pt idx="21">
                        <c:v>137</c:v>
                      </c:pt>
                      <c:pt idx="22">
                        <c:v>137</c:v>
                      </c:pt>
                      <c:pt idx="23">
                        <c:v>136</c:v>
                      </c:pt>
                      <c:pt idx="24">
                        <c:v>136</c:v>
                      </c:pt>
                      <c:pt idx="25">
                        <c:v>130</c:v>
                      </c:pt>
                      <c:pt idx="26">
                        <c:v>129</c:v>
                      </c:pt>
                      <c:pt idx="27">
                        <c:v>126</c:v>
                      </c:pt>
                      <c:pt idx="28">
                        <c:v>126</c:v>
                      </c:pt>
                      <c:pt idx="29">
                        <c:v>125</c:v>
                      </c:pt>
                      <c:pt idx="30">
                        <c:v>122</c:v>
                      </c:pt>
                      <c:pt idx="31">
                        <c:v>122</c:v>
                      </c:pt>
                      <c:pt idx="32">
                        <c:v>122</c:v>
                      </c:pt>
                      <c:pt idx="33">
                        <c:v>121</c:v>
                      </c:pt>
                      <c:pt idx="34">
                        <c:v>120</c:v>
                      </c:pt>
                      <c:pt idx="35">
                        <c:v>118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E3-465D-9FBB-89D530E8F1E7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MAcc!$O$25:$O$38</c:f>
              <c:numCache>
                <c:formatCode>0.00%</c:formatCode>
                <c:ptCount val="14"/>
                <c:pt idx="2">
                  <c:v>0.4201</c:v>
                </c:pt>
                <c:pt idx="3">
                  <c:v>0.4541</c:v>
                </c:pt>
                <c:pt idx="4">
                  <c:v>0.4654</c:v>
                </c:pt>
                <c:pt idx="5">
                  <c:v>0.783</c:v>
                </c:pt>
                <c:pt idx="6">
                  <c:v>0.8638</c:v>
                </c:pt>
                <c:pt idx="7">
                  <c:v>0.9147</c:v>
                </c:pt>
                <c:pt idx="8">
                  <c:v>0.9662</c:v>
                </c:pt>
                <c:pt idx="9">
                  <c:v>0.9806999999999999</c:v>
                </c:pt>
                <c:pt idx="10">
                  <c:v>0.9903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DB8-8FD8-A7D7AC71B95A}"/>
            </c:ext>
          </c:extLst>
        </c:ser>
        <c:ser>
          <c:idx val="2"/>
          <c:order val="1"/>
          <c:tx>
            <c:strRef>
              <c:f>MAcc!$P$24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MAcc!$P$25:$P$38</c:f>
              <c:numCache>
                <c:formatCode>0.00%</c:formatCode>
                <c:ptCount val="14"/>
                <c:pt idx="0">
                  <c:v>0.127</c:v>
                </c:pt>
                <c:pt idx="1">
                  <c:v>0.2063</c:v>
                </c:pt>
                <c:pt idx="2">
                  <c:v>0.2751</c:v>
                </c:pt>
                <c:pt idx="3">
                  <c:v>0.4392</c:v>
                </c:pt>
                <c:pt idx="4">
                  <c:v>0.4603</c:v>
                </c:pt>
                <c:pt idx="5">
                  <c:v>0.7143</c:v>
                </c:pt>
                <c:pt idx="6">
                  <c:v>0.8836</c:v>
                </c:pt>
                <c:pt idx="7">
                  <c:v>0.9471</c:v>
                </c:pt>
                <c:pt idx="8">
                  <c:v>0.963</c:v>
                </c:pt>
                <c:pt idx="9">
                  <c:v>0.9841</c:v>
                </c:pt>
                <c:pt idx="10">
                  <c:v>0.9894</c:v>
                </c:pt>
                <c:pt idx="11">
                  <c:v>0.9947</c:v>
                </c:pt>
                <c:pt idx="12">
                  <c:v>0.9947</c:v>
                </c:pt>
                <c:pt idx="13">
                  <c:v>0.9947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A2-4DB8-8FD8-A7D7AC71B95A}"/>
            </c:ext>
          </c:extLst>
        </c:ser>
        <c:ser>
          <c:idx val="3"/>
          <c:order val="2"/>
          <c:tx>
            <c:strRef>
              <c:f>MAcc!$Q$24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MAcc!$Q$25:$Q$38</c:f>
              <c:numCache>
                <c:formatCode>0.00%</c:formatCode>
                <c:ptCount val="14"/>
                <c:pt idx="0">
                  <c:v>0.1656</c:v>
                </c:pt>
                <c:pt idx="1">
                  <c:v>0.362</c:v>
                </c:pt>
                <c:pt idx="2">
                  <c:v>0.4172</c:v>
                </c:pt>
                <c:pt idx="3">
                  <c:v>0.4294</c:v>
                </c:pt>
                <c:pt idx="4">
                  <c:v>0.5644</c:v>
                </c:pt>
                <c:pt idx="5">
                  <c:v>0.681</c:v>
                </c:pt>
                <c:pt idx="6">
                  <c:v>0.8344</c:v>
                </c:pt>
                <c:pt idx="7">
                  <c:v>0.9509</c:v>
                </c:pt>
                <c:pt idx="8">
                  <c:v>0.9693</c:v>
                </c:pt>
                <c:pt idx="9">
                  <c:v>0.9755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A2-4DB8-8FD8-A7D7AC71B95A}"/>
            </c:ext>
          </c:extLst>
        </c:ser>
        <c:ser>
          <c:idx val="4"/>
          <c:order val="3"/>
          <c:tx>
            <c:strRef>
              <c:f>MAcc!$R$24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MAcc!$R$25:$R$38</c:f>
              <c:numCache>
                <c:formatCode>0.00%</c:formatCode>
                <c:ptCount val="14"/>
                <c:pt idx="0">
                  <c:v>0.1053</c:v>
                </c:pt>
                <c:pt idx="1">
                  <c:v>0.1513</c:v>
                </c:pt>
                <c:pt idx="2">
                  <c:v>0.2039</c:v>
                </c:pt>
                <c:pt idx="3">
                  <c:v>0.3618</c:v>
                </c:pt>
                <c:pt idx="4">
                  <c:v>0.3882</c:v>
                </c:pt>
                <c:pt idx="5">
                  <c:v>0.5461</c:v>
                </c:pt>
                <c:pt idx="6">
                  <c:v>0.6842</c:v>
                </c:pt>
                <c:pt idx="7">
                  <c:v>0.9474</c:v>
                </c:pt>
                <c:pt idx="8">
                  <c:v>0.9671</c:v>
                </c:pt>
                <c:pt idx="9">
                  <c:v>0.9803</c:v>
                </c:pt>
                <c:pt idx="10">
                  <c:v>0.9868</c:v>
                </c:pt>
                <c:pt idx="11">
                  <c:v>0.9868</c:v>
                </c:pt>
                <c:pt idx="12">
                  <c:v>0.9868</c:v>
                </c:pt>
                <c:pt idx="13">
                  <c:v>0.9868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A2-4DB8-8FD8-A7D7AC71B95A}"/>
            </c:ext>
          </c:extLst>
        </c:ser>
        <c:ser>
          <c:idx val="5"/>
          <c:order val="4"/>
          <c:tx>
            <c:strRef>
              <c:f>MAcc!$S$24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MAcc!$S$25:$S$38</c:f>
              <c:numCache>
                <c:formatCode>0.00%</c:formatCode>
                <c:ptCount val="14"/>
                <c:pt idx="0">
                  <c:v>0.2013</c:v>
                </c:pt>
                <c:pt idx="1">
                  <c:v>0.3899</c:v>
                </c:pt>
                <c:pt idx="2">
                  <c:v>0.4277</c:v>
                </c:pt>
                <c:pt idx="3">
                  <c:v>0.4465</c:v>
                </c:pt>
                <c:pt idx="4">
                  <c:v>0.4717</c:v>
                </c:pt>
                <c:pt idx="5">
                  <c:v>0.4906</c:v>
                </c:pt>
                <c:pt idx="6">
                  <c:v>0.717</c:v>
                </c:pt>
                <c:pt idx="7">
                  <c:v>0.9371</c:v>
                </c:pt>
                <c:pt idx="8">
                  <c:v>0.9748</c:v>
                </c:pt>
                <c:pt idx="9">
                  <c:v>0.9811</c:v>
                </c:pt>
                <c:pt idx="10">
                  <c:v>0.9937</c:v>
                </c:pt>
                <c:pt idx="11">
                  <c:v>0.9937</c:v>
                </c:pt>
                <c:pt idx="12">
                  <c:v>0.9937</c:v>
                </c:pt>
                <c:pt idx="13">
                  <c:v>0.9937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5A2-4DB8-8FD8-A7D7AC71B95A}"/>
            </c:ext>
          </c:extLst>
        </c:ser>
        <c:ser>
          <c:idx val="0"/>
          <c:order val="5"/>
          <c:tx>
            <c:strRef>
              <c:f>MAcc!$N$24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2-4DB8-8FD8-A7D7AC71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NittyGrittySheet!$B$210:$I$210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NittyGrittySheet!$B$211:$I$211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50-AFAF-339F5CDF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Studnets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NittyGrittySheet!$B$214:$I$214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4F6-ADA4-33F70E0B3110}"/>
            </c:ext>
          </c:extLst>
        </c:ser>
        <c:ser>
          <c:idx val="1"/>
          <c:order val="1"/>
          <c:tx>
            <c:strRef>
              <c:f>NittyGrittySheet!$A$215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NittyGrittySheet!$B$215:$I$215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F6-ADA4-33F70E0B3110}"/>
            </c:ext>
          </c:extLst>
        </c:ser>
        <c:ser>
          <c:idx val="3"/>
          <c:order val="3"/>
          <c:tx>
            <c:strRef>
              <c:f>NittyGrittySheet!$A$217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NittyGrittySheet!$B$217:$I$217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4F6-ADA4-33F70E0B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NittyGrittySheet!$A$216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NittyGrittySheet!$B$216:$AL$216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29-44F6-ADA4-33F70E0B31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NittyGrittySheet!$B$218:$AL$218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8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29-44F6-ADA4-33F70E0B311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NittyGrittySheet!$B$219:$AL$219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29-44F6-ADA4-33F70E0B311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NittyGrittySheet!$B$220:$AL$220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29-44F6-ADA4-33F70E0B31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NittyGrittySheet!$B$221:$AL$221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9-44F6-ADA4-33F70E0B311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NittyGrittySheet!$B$222:$AL$222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29-44F6-ADA4-33F70E0B311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NittyGrittySheet!$B$223:$AL$223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29-44F6-ADA4-33F70E0B311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NittyGrittySheet!$B$224:$AL$224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226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224</c:v>
                      </c:pt>
                      <c:pt idx="4">
                        <c:v>223</c:v>
                      </c:pt>
                      <c:pt idx="5">
                        <c:v>223</c:v>
                      </c:pt>
                      <c:pt idx="6">
                        <c:v>223</c:v>
                      </c:pt>
                      <c:pt idx="7">
                        <c:v>223</c:v>
                      </c:pt>
                      <c:pt idx="8">
                        <c:v>223</c:v>
                      </c:pt>
                      <c:pt idx="9">
                        <c:v>223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225</c:v>
                      </c:pt>
                      <c:pt idx="13">
                        <c:v>224</c:v>
                      </c:pt>
                      <c:pt idx="14">
                        <c:v>224</c:v>
                      </c:pt>
                      <c:pt idx="15">
                        <c:v>224</c:v>
                      </c:pt>
                      <c:pt idx="16">
                        <c:v>223</c:v>
                      </c:pt>
                      <c:pt idx="17">
                        <c:v>223</c:v>
                      </c:pt>
                      <c:pt idx="18">
                        <c:v>222</c:v>
                      </c:pt>
                      <c:pt idx="19">
                        <c:v>222</c:v>
                      </c:pt>
                      <c:pt idx="20">
                        <c:v>223</c:v>
                      </c:pt>
                      <c:pt idx="21">
                        <c:v>222</c:v>
                      </c:pt>
                      <c:pt idx="22">
                        <c:v>221</c:v>
                      </c:pt>
                      <c:pt idx="23">
                        <c:v>221</c:v>
                      </c:pt>
                      <c:pt idx="24">
                        <c:v>222</c:v>
                      </c:pt>
                      <c:pt idx="25">
                        <c:v>221</c:v>
                      </c:pt>
                      <c:pt idx="26">
                        <c:v>221</c:v>
                      </c:pt>
                      <c:pt idx="27">
                        <c:v>220</c:v>
                      </c:pt>
                      <c:pt idx="28">
                        <c:v>220</c:v>
                      </c:pt>
                      <c:pt idx="29">
                        <c:v>220</c:v>
                      </c:pt>
                      <c:pt idx="30">
                        <c:v>220</c:v>
                      </c:pt>
                      <c:pt idx="31">
                        <c:v>220</c:v>
                      </c:pt>
                      <c:pt idx="32">
                        <c:v>220</c:v>
                      </c:pt>
                      <c:pt idx="33">
                        <c:v>220</c:v>
                      </c:pt>
                      <c:pt idx="34">
                        <c:v>220</c:v>
                      </c:pt>
                      <c:pt idx="35">
                        <c:v>220</c:v>
                      </c:pt>
                      <c:pt idx="36">
                        <c:v>219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29-44F6-ADA4-33F70E0B3110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MBA!$O$24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MBA!$O$25:$O$38</c:f>
              <c:numCache>
                <c:formatCode>0.00%</c:formatCode>
                <c:ptCount val="14"/>
                <c:pt idx="2">
                  <c:v>0.3014</c:v>
                </c:pt>
                <c:pt idx="3">
                  <c:v>0.3425</c:v>
                </c:pt>
                <c:pt idx="4">
                  <c:v>0.4384</c:v>
                </c:pt>
                <c:pt idx="5">
                  <c:v>0.4795</c:v>
                </c:pt>
                <c:pt idx="6">
                  <c:v>0.5139</c:v>
                </c:pt>
                <c:pt idx="7">
                  <c:v>0.6087</c:v>
                </c:pt>
                <c:pt idx="8">
                  <c:v>0.6667</c:v>
                </c:pt>
                <c:pt idx="9">
                  <c:v>0.7245999999999999</c:v>
                </c:pt>
                <c:pt idx="10">
                  <c:v>0.7940999999999999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1FC-B90A-CE4A60C289BD}"/>
            </c:ext>
          </c:extLst>
        </c:ser>
        <c:ser>
          <c:idx val="2"/>
          <c:order val="1"/>
          <c:tx>
            <c:strRef>
              <c:f>MBA!$P$24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MBA!$P$25:$P$38</c:f>
              <c:numCache>
                <c:formatCode>0.00%</c:formatCode>
                <c:ptCount val="14"/>
                <c:pt idx="0">
                  <c:v>0.0575</c:v>
                </c:pt>
                <c:pt idx="1">
                  <c:v>0.1034</c:v>
                </c:pt>
                <c:pt idx="2">
                  <c:v>0.2414</c:v>
                </c:pt>
                <c:pt idx="3">
                  <c:v>0.3103</c:v>
                </c:pt>
                <c:pt idx="4">
                  <c:v>0.3333</c:v>
                </c:pt>
                <c:pt idx="5">
                  <c:v>0.4253</c:v>
                </c:pt>
                <c:pt idx="6">
                  <c:v>0.5057</c:v>
                </c:pt>
                <c:pt idx="7">
                  <c:v>0.5402</c:v>
                </c:pt>
                <c:pt idx="8">
                  <c:v>0.6092</c:v>
                </c:pt>
                <c:pt idx="9">
                  <c:v>0.7011</c:v>
                </c:pt>
                <c:pt idx="10">
                  <c:v>0.7931</c:v>
                </c:pt>
                <c:pt idx="11">
                  <c:v>0.8276</c:v>
                </c:pt>
                <c:pt idx="12">
                  <c:v>0.8621</c:v>
                </c:pt>
                <c:pt idx="13">
                  <c:v>0.8736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F7-41FC-B90A-CE4A60C289BD}"/>
            </c:ext>
          </c:extLst>
        </c:ser>
        <c:ser>
          <c:idx val="3"/>
          <c:order val="2"/>
          <c:tx>
            <c:strRef>
              <c:f>MBA!$Q$24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MBA!$Q$25:$Q$38</c:f>
              <c:numCache>
                <c:formatCode>0.00%</c:formatCode>
                <c:ptCount val="14"/>
                <c:pt idx="0">
                  <c:v>0.0533</c:v>
                </c:pt>
                <c:pt idx="1">
                  <c:v>0.08</c:v>
                </c:pt>
                <c:pt idx="2">
                  <c:v>0.2533</c:v>
                </c:pt>
                <c:pt idx="3">
                  <c:v>0.36</c:v>
                </c:pt>
                <c:pt idx="4">
                  <c:v>0.4933</c:v>
                </c:pt>
                <c:pt idx="5">
                  <c:v>0.5067</c:v>
                </c:pt>
                <c:pt idx="6">
                  <c:v>0.5333</c:v>
                </c:pt>
                <c:pt idx="7">
                  <c:v>0.5733</c:v>
                </c:pt>
                <c:pt idx="8">
                  <c:v>0.68</c:v>
                </c:pt>
                <c:pt idx="9">
                  <c:v>0.7333</c:v>
                </c:pt>
                <c:pt idx="10">
                  <c:v>0.8</c:v>
                </c:pt>
                <c:pt idx="11">
                  <c:v>0.8533</c:v>
                </c:pt>
                <c:pt idx="12">
                  <c:v>0.88</c:v>
                </c:pt>
                <c:pt idx="13">
                  <c:v>0.88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F7-41FC-B90A-CE4A60C289BD}"/>
            </c:ext>
          </c:extLst>
        </c:ser>
        <c:ser>
          <c:idx val="4"/>
          <c:order val="3"/>
          <c:tx>
            <c:strRef>
              <c:f>MBA!$R$24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MBA!$R$25:$R$38</c:f>
              <c:numCache>
                <c:formatCode>0.00%</c:formatCode>
                <c:ptCount val="14"/>
                <c:pt idx="0">
                  <c:v>0.0323</c:v>
                </c:pt>
                <c:pt idx="1">
                  <c:v>0.0645</c:v>
                </c:pt>
                <c:pt idx="2">
                  <c:v>0.371</c:v>
                </c:pt>
                <c:pt idx="3">
                  <c:v>0.4758</c:v>
                </c:pt>
                <c:pt idx="4">
                  <c:v>0.4919</c:v>
                </c:pt>
                <c:pt idx="5">
                  <c:v>0.5161</c:v>
                </c:pt>
                <c:pt idx="6">
                  <c:v>0.5484</c:v>
                </c:pt>
                <c:pt idx="7">
                  <c:v>0.5887</c:v>
                </c:pt>
                <c:pt idx="8">
                  <c:v>0.7177</c:v>
                </c:pt>
                <c:pt idx="9">
                  <c:v>0.7903</c:v>
                </c:pt>
                <c:pt idx="10">
                  <c:v>0.8306</c:v>
                </c:pt>
                <c:pt idx="11">
                  <c:v>0.8871</c:v>
                </c:pt>
                <c:pt idx="12">
                  <c:v>0.9113</c:v>
                </c:pt>
                <c:pt idx="13">
                  <c:v>0.9435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3F7-41FC-B90A-CE4A60C289BD}"/>
            </c:ext>
          </c:extLst>
        </c:ser>
        <c:ser>
          <c:idx val="5"/>
          <c:order val="4"/>
          <c:tx>
            <c:strRef>
              <c:f>MBA!$S$24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MBA!$S$25:$S$38</c:f>
              <c:numCache>
                <c:formatCode>0.00%</c:formatCode>
                <c:ptCount val="14"/>
                <c:pt idx="0">
                  <c:v>0.0584</c:v>
                </c:pt>
                <c:pt idx="1">
                  <c:v>0.2336</c:v>
                </c:pt>
                <c:pt idx="2">
                  <c:v>0.3431</c:v>
                </c:pt>
                <c:pt idx="3">
                  <c:v>0.4818</c:v>
                </c:pt>
                <c:pt idx="4">
                  <c:v>0.5109</c:v>
                </c:pt>
                <c:pt idx="5">
                  <c:v>0.5912</c:v>
                </c:pt>
                <c:pt idx="6">
                  <c:v>0.6496</c:v>
                </c:pt>
                <c:pt idx="7">
                  <c:v>0.708</c:v>
                </c:pt>
                <c:pt idx="8">
                  <c:v>0.7664</c:v>
                </c:pt>
                <c:pt idx="9">
                  <c:v>0.8686</c:v>
                </c:pt>
                <c:pt idx="10">
                  <c:v>0.927</c:v>
                </c:pt>
                <c:pt idx="11">
                  <c:v>0.9562</c:v>
                </c:pt>
                <c:pt idx="12">
                  <c:v>0.9708</c:v>
                </c:pt>
                <c:pt idx="13">
                  <c:v>0.9854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3F7-41FC-B90A-CE4A60C289BD}"/>
            </c:ext>
          </c:extLst>
        </c:ser>
        <c:ser>
          <c:idx val="0"/>
          <c:order val="5"/>
          <c:tx>
            <c:strRef>
              <c:f>MBA!$N$24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7-41FC-B90A-CE4A60C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NittyGrittySheet!$A$228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NittyGrittySheet!$B$227:$I$227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NittyGrittySheet!$B$228:$I$228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B-4BC3-AA81-9E05EA48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NittyGrittySheet!$A$231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NittyGrittySheet!$B$231:$I$231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67C-B0C5-AC2121B44EBB}"/>
            </c:ext>
          </c:extLst>
        </c:ser>
        <c:ser>
          <c:idx val="1"/>
          <c:order val="1"/>
          <c:tx>
            <c:strRef>
              <c:f>NittyGrittySheet!$A$232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NittyGrittySheet!$B$232:$I$232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9-467C-B0C5-AC2121B44EBB}"/>
            </c:ext>
          </c:extLst>
        </c:ser>
        <c:ser>
          <c:idx val="3"/>
          <c:order val="3"/>
          <c:tx>
            <c:strRef>
              <c:f>NittyGrittySheet!$A$234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NittyGrittySheet!$B$234:$I$234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9-467C-B0C5-AC2121B4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NittyGrittySheet!$A$233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NittyGrittySheet!$B$233:$AL$233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279-467C-B0C5-AC2121B44E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NittyGrittySheet!$B$235:$AL$235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279-467C-B0C5-AC2121B44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NittyGrittySheet!$B$236:$AL$236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279-467C-B0C5-AC2121B44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NittyGrittySheet!$B$237:$AL$237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279-467C-B0C5-AC2121B44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NittyGrittySheet!$B$238:$AL$238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279-467C-B0C5-AC2121B44E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NittyGrittySheet!$B$239:$AL$239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279-467C-B0C5-AC2121B44E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NittyGrittySheet!$B$240:$AL$240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279-467C-B0C5-AC2121B44E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NittyGrittySheet!$B$241:$AL$241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81</c:v>
                      </c:pt>
                      <c:pt idx="3">
                        <c:v>81</c:v>
                      </c:pt>
                      <c:pt idx="4">
                        <c:v>81</c:v>
                      </c:pt>
                      <c:pt idx="5">
                        <c:v>81</c:v>
                      </c:pt>
                      <c:pt idx="6">
                        <c:v>81</c:v>
                      </c:pt>
                      <c:pt idx="7">
                        <c:v>81</c:v>
                      </c:pt>
                      <c:pt idx="8">
                        <c:v>81</c:v>
                      </c:pt>
                      <c:pt idx="9">
                        <c:v>81</c:v>
                      </c:pt>
                      <c:pt idx="10">
                        <c:v>81</c:v>
                      </c:pt>
                      <c:pt idx="11">
                        <c:v>81</c:v>
                      </c:pt>
                      <c:pt idx="12">
                        <c:v>81</c:v>
                      </c:pt>
                      <c:pt idx="13">
                        <c:v>81</c:v>
                      </c:pt>
                      <c:pt idx="14">
                        <c:v>81</c:v>
                      </c:pt>
                      <c:pt idx="15">
                        <c:v>80</c:v>
                      </c:pt>
                      <c:pt idx="16">
                        <c:v>80</c:v>
                      </c:pt>
                      <c:pt idx="17">
                        <c:v>79</c:v>
                      </c:pt>
                      <c:pt idx="18">
                        <c:v>79</c:v>
                      </c:pt>
                      <c:pt idx="19">
                        <c:v>79</c:v>
                      </c:pt>
                      <c:pt idx="20">
                        <c:v>79</c:v>
                      </c:pt>
                      <c:pt idx="21">
                        <c:v>79</c:v>
                      </c:pt>
                      <c:pt idx="22">
                        <c:v>78</c:v>
                      </c:pt>
                      <c:pt idx="23">
                        <c:v>78</c:v>
                      </c:pt>
                      <c:pt idx="24">
                        <c:v>77</c:v>
                      </c:pt>
                      <c:pt idx="25">
                        <c:v>77</c:v>
                      </c:pt>
                      <c:pt idx="26">
                        <c:v>77</c:v>
                      </c:pt>
                      <c:pt idx="27">
                        <c:v>77</c:v>
                      </c:pt>
                      <c:pt idx="28">
                        <c:v>77</c:v>
                      </c:pt>
                      <c:pt idx="29">
                        <c:v>77</c:v>
                      </c:pt>
                      <c:pt idx="30">
                        <c:v>77</c:v>
                      </c:pt>
                      <c:pt idx="31">
                        <c:v>77</c:v>
                      </c:pt>
                      <c:pt idx="32">
                        <c:v>77</c:v>
                      </c:pt>
                      <c:pt idx="33">
                        <c:v>77</c:v>
                      </c:pt>
                      <c:pt idx="34">
                        <c:v>77</c:v>
                      </c:pt>
                      <c:pt idx="35">
                        <c:v>77</c:v>
                      </c:pt>
                      <c:pt idx="36">
                        <c:v>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279-467C-B0C5-AC2121B44EBB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MISM!$O$25:$O$38</c:f>
              <c:numCache>
                <c:formatCode>0.00%</c:formatCode>
                <c:ptCount val="14"/>
                <c:pt idx="2">
                  <c:v>0.14</c:v>
                </c:pt>
                <c:pt idx="3">
                  <c:v>0.2062</c:v>
                </c:pt>
                <c:pt idx="4">
                  <c:v>0.2551</c:v>
                </c:pt>
                <c:pt idx="5">
                  <c:v>0.4078</c:v>
                </c:pt>
                <c:pt idx="6">
                  <c:v>0.4466</c:v>
                </c:pt>
                <c:pt idx="7">
                  <c:v>0.5446</c:v>
                </c:pt>
                <c:pt idx="8">
                  <c:v>0.6699</c:v>
                </c:pt>
                <c:pt idx="9">
                  <c:v>0.7912</c:v>
                </c:pt>
                <c:pt idx="10">
                  <c:v>0.8151999999999999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0ED-A44B-45B4584CC0CA}"/>
            </c:ext>
          </c:extLst>
        </c:ser>
        <c:ser>
          <c:idx val="2"/>
          <c:order val="1"/>
          <c:tx>
            <c:strRef>
              <c:f>MISM!$P$24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MISM!$P$25:$P$38</c:f>
              <c:numCache>
                <c:formatCode>0.00%</c:formatCode>
                <c:ptCount val="14"/>
                <c:pt idx="0">
                  <c:v>0.044</c:v>
                </c:pt>
                <c:pt idx="1">
                  <c:v>0.0769</c:v>
                </c:pt>
                <c:pt idx="2">
                  <c:v>0.0989</c:v>
                </c:pt>
                <c:pt idx="3">
                  <c:v>0.1319</c:v>
                </c:pt>
                <c:pt idx="4">
                  <c:v>0.1429</c:v>
                </c:pt>
                <c:pt idx="5">
                  <c:v>0.3187</c:v>
                </c:pt>
                <c:pt idx="6">
                  <c:v>0.3407</c:v>
                </c:pt>
                <c:pt idx="7">
                  <c:v>0.5385</c:v>
                </c:pt>
                <c:pt idx="8">
                  <c:v>0.6484</c:v>
                </c:pt>
                <c:pt idx="9">
                  <c:v>0.7033</c:v>
                </c:pt>
                <c:pt idx="10">
                  <c:v>0.8132</c:v>
                </c:pt>
                <c:pt idx="11">
                  <c:v>0.8901</c:v>
                </c:pt>
                <c:pt idx="12">
                  <c:v>0.9451</c:v>
                </c:pt>
                <c:pt idx="13">
                  <c:v>0.9451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24A-40ED-A44B-45B4584CC0CA}"/>
            </c:ext>
          </c:extLst>
        </c:ser>
        <c:ser>
          <c:idx val="3"/>
          <c:order val="2"/>
          <c:tx>
            <c:strRef>
              <c:f>MISM!$Q$24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MISM!$Q$25:$Q$38</c:f>
              <c:numCache>
                <c:formatCode>0.00%</c:formatCode>
                <c:ptCount val="14"/>
                <c:pt idx="0">
                  <c:v>0.0957</c:v>
                </c:pt>
                <c:pt idx="1">
                  <c:v>0.1596</c:v>
                </c:pt>
                <c:pt idx="2">
                  <c:v>0.1809</c:v>
                </c:pt>
                <c:pt idx="3">
                  <c:v>0.2766</c:v>
                </c:pt>
                <c:pt idx="4">
                  <c:v>0.2872</c:v>
                </c:pt>
                <c:pt idx="5">
                  <c:v>0.3723</c:v>
                </c:pt>
                <c:pt idx="6">
                  <c:v>0.4362</c:v>
                </c:pt>
                <c:pt idx="7">
                  <c:v>0.617</c:v>
                </c:pt>
                <c:pt idx="8">
                  <c:v>0.6702</c:v>
                </c:pt>
                <c:pt idx="9">
                  <c:v>0.6915</c:v>
                </c:pt>
                <c:pt idx="10">
                  <c:v>0.7128</c:v>
                </c:pt>
                <c:pt idx="11">
                  <c:v>0.883</c:v>
                </c:pt>
                <c:pt idx="12">
                  <c:v>0.9043</c:v>
                </c:pt>
                <c:pt idx="13">
                  <c:v>0.9043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A-40ED-A44B-45B4584CC0CA}"/>
            </c:ext>
          </c:extLst>
        </c:ser>
        <c:ser>
          <c:idx val="4"/>
          <c:order val="3"/>
          <c:tx>
            <c:strRef>
              <c:f>MISM!$R$24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MISM!$R$25:$R$38</c:f>
              <c:numCache>
                <c:formatCode>0.00%</c:formatCode>
                <c:ptCount val="14"/>
                <c:pt idx="0">
                  <c:v>0.069</c:v>
                </c:pt>
                <c:pt idx="1">
                  <c:v>0.1034</c:v>
                </c:pt>
                <c:pt idx="2">
                  <c:v>0.1379</c:v>
                </c:pt>
                <c:pt idx="3">
                  <c:v>0.2069</c:v>
                </c:pt>
                <c:pt idx="4">
                  <c:v>0.2414</c:v>
                </c:pt>
                <c:pt idx="5">
                  <c:v>0.3333</c:v>
                </c:pt>
                <c:pt idx="6">
                  <c:v>0.3563</c:v>
                </c:pt>
                <c:pt idx="7">
                  <c:v>0.6667</c:v>
                </c:pt>
                <c:pt idx="8">
                  <c:v>0.6897</c:v>
                </c:pt>
                <c:pt idx="9">
                  <c:v>0.7241</c:v>
                </c:pt>
                <c:pt idx="10">
                  <c:v>0.8161</c:v>
                </c:pt>
                <c:pt idx="11">
                  <c:v>0.931</c:v>
                </c:pt>
                <c:pt idx="12">
                  <c:v>0.9425</c:v>
                </c:pt>
                <c:pt idx="13">
                  <c:v>0.9425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4A-40ED-A44B-45B4584CC0CA}"/>
            </c:ext>
          </c:extLst>
        </c:ser>
        <c:ser>
          <c:idx val="5"/>
          <c:order val="4"/>
          <c:tx>
            <c:strRef>
              <c:f>MISM!$S$24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MISM!$S$25:$S$38</c:f>
              <c:numCache>
                <c:formatCode>0.00%</c:formatCode>
                <c:ptCount val="14"/>
                <c:pt idx="0">
                  <c:v>0.0698</c:v>
                </c:pt>
                <c:pt idx="1">
                  <c:v>0.1279</c:v>
                </c:pt>
                <c:pt idx="2">
                  <c:v>0.1977</c:v>
                </c:pt>
                <c:pt idx="3">
                  <c:v>0.3372</c:v>
                </c:pt>
                <c:pt idx="4">
                  <c:v>0.3605</c:v>
                </c:pt>
                <c:pt idx="5">
                  <c:v>0.4767</c:v>
                </c:pt>
                <c:pt idx="6">
                  <c:v>0.5233</c:v>
                </c:pt>
                <c:pt idx="7">
                  <c:v>0.7326</c:v>
                </c:pt>
                <c:pt idx="8">
                  <c:v>0.8256</c:v>
                </c:pt>
                <c:pt idx="9">
                  <c:v>0.907</c:v>
                </c:pt>
                <c:pt idx="10">
                  <c:v>0.9651</c:v>
                </c:pt>
                <c:pt idx="11">
                  <c:v>1.0116</c:v>
                </c:pt>
                <c:pt idx="12">
                  <c:v>1.0116</c:v>
                </c:pt>
                <c:pt idx="13">
                  <c:v>1.0116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24A-40ED-A44B-45B4584CC0CA}"/>
            </c:ext>
          </c:extLst>
        </c:ser>
        <c:ser>
          <c:idx val="0"/>
          <c:order val="5"/>
          <c:tx>
            <c:strRef>
              <c:f>MISM!$N$24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0ED-A44B-45B4584C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NittyGrittySheet!$B$244:$I$244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NittyGrittySheet!$B$245:$I$245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4CC-8C9F-AF03EC873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NittyGrittySheet!$B$248:$I$248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A-9C5A-4E0E2556110D}"/>
            </c:ext>
          </c:extLst>
        </c:ser>
        <c:ser>
          <c:idx val="1"/>
          <c:order val="1"/>
          <c:tx>
            <c:strRef>
              <c:f>NittyGrittySheet!$A$249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NittyGrittySheet!$B$249:$I$249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A-9C5A-4E0E2556110D}"/>
            </c:ext>
          </c:extLst>
        </c:ser>
        <c:ser>
          <c:idx val="3"/>
          <c:order val="3"/>
          <c:tx>
            <c:strRef>
              <c:f>NittyGrittySheet!$A$251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NittyGrittySheet!$B$251:$I$251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A-9C5A-4E0E2556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NittyGrittySheet!$A$250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NittyGrittySheet!$B$250:$AL$250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33-49AA-9C5A-4E0E255611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NittyGrittySheet!$B$252:$AL$252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33-49AA-9C5A-4E0E255611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NittyGrittySheet!$B$253:$AL$253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33-49AA-9C5A-4E0E255611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NittyGrittySheet!$B$254:$AL$254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3-49AA-9C5A-4E0E255611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NittyGrittySheet!$B$255:$AL$255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3-49AA-9C5A-4E0E255611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NittyGrittySheet!$B$256:$AL$256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3-49AA-9C5A-4E0E2556110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NittyGrittySheet!$B$257:$AL$257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3-49AA-9C5A-4E0E255611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NittyGrittySheet!$B$258:$AL$258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103</c:v>
                      </c:pt>
                      <c:pt idx="1">
                        <c:v>103</c:v>
                      </c:pt>
                      <c:pt idx="2">
                        <c:v>103</c:v>
                      </c:pt>
                      <c:pt idx="3">
                        <c:v>103</c:v>
                      </c:pt>
                      <c:pt idx="4">
                        <c:v>103</c:v>
                      </c:pt>
                      <c:pt idx="5">
                        <c:v>103</c:v>
                      </c:pt>
                      <c:pt idx="6">
                        <c:v>102</c:v>
                      </c:pt>
                      <c:pt idx="7">
                        <c:v>102</c:v>
                      </c:pt>
                      <c:pt idx="8">
                        <c:v>102</c:v>
                      </c:pt>
                      <c:pt idx="9">
                        <c:v>103</c:v>
                      </c:pt>
                      <c:pt idx="10">
                        <c:v>103</c:v>
                      </c:pt>
                      <c:pt idx="11">
                        <c:v>104</c:v>
                      </c:pt>
                      <c:pt idx="12">
                        <c:v>104</c:v>
                      </c:pt>
                      <c:pt idx="13">
                        <c:v>105</c:v>
                      </c:pt>
                      <c:pt idx="14">
                        <c:v>108</c:v>
                      </c:pt>
                      <c:pt idx="15">
                        <c:v>108</c:v>
                      </c:pt>
                      <c:pt idx="16">
                        <c:v>108</c:v>
                      </c:pt>
                      <c:pt idx="17">
                        <c:v>109</c:v>
                      </c:pt>
                      <c:pt idx="18">
                        <c:v>109</c:v>
                      </c:pt>
                      <c:pt idx="19">
                        <c:v>109</c:v>
                      </c:pt>
                      <c:pt idx="20">
                        <c:v>109</c:v>
                      </c:pt>
                      <c:pt idx="21">
                        <c:v>109</c:v>
                      </c:pt>
                      <c:pt idx="22">
                        <c:v>109</c:v>
                      </c:pt>
                      <c:pt idx="23">
                        <c:v>109</c:v>
                      </c:pt>
                      <c:pt idx="24">
                        <c:v>108</c:v>
                      </c:pt>
                      <c:pt idx="25">
                        <c:v>108</c:v>
                      </c:pt>
                      <c:pt idx="26">
                        <c:v>108</c:v>
                      </c:pt>
                      <c:pt idx="27">
                        <c:v>109</c:v>
                      </c:pt>
                      <c:pt idx="28">
                        <c:v>109</c:v>
                      </c:pt>
                      <c:pt idx="29">
                        <c:v>108</c:v>
                      </c:pt>
                      <c:pt idx="30">
                        <c:v>108</c:v>
                      </c:pt>
                      <c:pt idx="31">
                        <c:v>108</c:v>
                      </c:pt>
                      <c:pt idx="32">
                        <c:v>106</c:v>
                      </c:pt>
                      <c:pt idx="33">
                        <c:v>107</c:v>
                      </c:pt>
                      <c:pt idx="34">
                        <c:v>107</c:v>
                      </c:pt>
                      <c:pt idx="35">
                        <c:v>107</c:v>
                      </c:pt>
                      <c:pt idx="36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3-49AA-9C5A-4E0E2556110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MPA!$O$24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MPA!$O$25:$O$38</c:f>
              <c:numCache>
                <c:formatCode>0.00%</c:formatCode>
                <c:ptCount val="14"/>
                <c:pt idx="2">
                  <c:v>0.0294</c:v>
                </c:pt>
                <c:pt idx="3">
                  <c:v>0.0294</c:v>
                </c:pt>
                <c:pt idx="4">
                  <c:v>0.0625</c:v>
                </c:pt>
                <c:pt idx="5">
                  <c:v>0.0645</c:v>
                </c:pt>
                <c:pt idx="6">
                  <c:v>0.1515</c:v>
                </c:pt>
                <c:pt idx="7">
                  <c:v>0.25</c:v>
                </c:pt>
                <c:pt idx="8">
                  <c:v>0.4583</c:v>
                </c:pt>
                <c:pt idx="9">
                  <c:v>0.5417000000000001</c:v>
                </c:pt>
                <c:pt idx="10">
                  <c:v>0.6818000000000001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C5A-B570-9CE50308C258}"/>
            </c:ext>
          </c:extLst>
        </c:ser>
        <c:ser>
          <c:idx val="2"/>
          <c:order val="1"/>
          <c:tx>
            <c:strRef>
              <c:f>MPA!$P$24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MPA!$P$25:$P$38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0.0667</c:v>
                </c:pt>
                <c:pt idx="4">
                  <c:v>0.1</c:v>
                </c:pt>
                <c:pt idx="5">
                  <c:v>0.1333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0.6333</c:v>
                </c:pt>
                <c:pt idx="10">
                  <c:v>0.7333</c:v>
                </c:pt>
                <c:pt idx="11">
                  <c:v>0.8</c:v>
                </c:pt>
                <c:pt idx="12">
                  <c:v>0.8333</c:v>
                </c:pt>
                <c:pt idx="13">
                  <c:v>0.8667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1D2-4C5A-B570-9CE50308C258}"/>
            </c:ext>
          </c:extLst>
        </c:ser>
        <c:ser>
          <c:idx val="3"/>
          <c:order val="2"/>
          <c:tx>
            <c:strRef>
              <c:f>MPA!$Q$24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MPA!$Q$25:$Q$38</c:f>
              <c:numCache>
                <c:formatCode>0.00%</c:formatCode>
                <c:ptCount val="14"/>
                <c:pt idx="0">
                  <c:v>0.0909</c:v>
                </c:pt>
                <c:pt idx="1">
                  <c:v>0.0909</c:v>
                </c:pt>
                <c:pt idx="2">
                  <c:v>0.1212</c:v>
                </c:pt>
                <c:pt idx="3">
                  <c:v>0.1212</c:v>
                </c:pt>
                <c:pt idx="4">
                  <c:v>0.1515</c:v>
                </c:pt>
                <c:pt idx="5">
                  <c:v>0.2121</c:v>
                </c:pt>
                <c:pt idx="6">
                  <c:v>0.2727</c:v>
                </c:pt>
                <c:pt idx="7">
                  <c:v>0.5152</c:v>
                </c:pt>
                <c:pt idx="8">
                  <c:v>0.6667</c:v>
                </c:pt>
                <c:pt idx="9">
                  <c:v>0.7576</c:v>
                </c:pt>
                <c:pt idx="10">
                  <c:v>0.8182</c:v>
                </c:pt>
                <c:pt idx="11">
                  <c:v>0.8788</c:v>
                </c:pt>
                <c:pt idx="12">
                  <c:v>0.9091</c:v>
                </c:pt>
                <c:pt idx="13">
                  <c:v>0.9091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D2-4C5A-B570-9CE50308C258}"/>
            </c:ext>
          </c:extLst>
        </c:ser>
        <c:ser>
          <c:idx val="4"/>
          <c:order val="3"/>
          <c:tx>
            <c:strRef>
              <c:f>MPA!$R$24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MPA!$R$25:$R$38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0.0333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0.1333</c:v>
                </c:pt>
                <c:pt idx="7">
                  <c:v>0.2667</c:v>
                </c:pt>
                <c:pt idx="8">
                  <c:v>0.4333</c:v>
                </c:pt>
                <c:pt idx="9">
                  <c:v>0.4333</c:v>
                </c:pt>
                <c:pt idx="10">
                  <c:v>0.7</c:v>
                </c:pt>
                <c:pt idx="11">
                  <c:v>0.7</c:v>
                </c:pt>
                <c:pt idx="12">
                  <c:v>0.7333</c:v>
                </c:pt>
                <c:pt idx="13">
                  <c:v>0.7333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D2-4C5A-B570-9CE50308C258}"/>
            </c:ext>
          </c:extLst>
        </c:ser>
        <c:ser>
          <c:idx val="5"/>
          <c:order val="4"/>
          <c:tx>
            <c:strRef>
              <c:f>MPA!$S$24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MPA!$S$25:$S$38</c:f>
              <c:numCache>
                <c:formatCode>0.00%</c:formatCode>
                <c:ptCount val="14"/>
                <c:pt idx="0">
                  <c:v>0.0294</c:v>
                </c:pt>
                <c:pt idx="1">
                  <c:v>0.0294</c:v>
                </c:pt>
                <c:pt idx="2">
                  <c:v>0.0294</c:v>
                </c:pt>
                <c:pt idx="3">
                  <c:v>0.0588</c:v>
                </c:pt>
                <c:pt idx="4">
                  <c:v>0.1176</c:v>
                </c:pt>
                <c:pt idx="5">
                  <c:v>0.1765</c:v>
                </c:pt>
                <c:pt idx="6">
                  <c:v>0.2647</c:v>
                </c:pt>
                <c:pt idx="7">
                  <c:v>0.3824</c:v>
                </c:pt>
                <c:pt idx="8">
                  <c:v>0.4706</c:v>
                </c:pt>
                <c:pt idx="9">
                  <c:v>0.5294</c:v>
                </c:pt>
                <c:pt idx="10">
                  <c:v>0.7941</c:v>
                </c:pt>
                <c:pt idx="11">
                  <c:v>0.9118</c:v>
                </c:pt>
                <c:pt idx="12">
                  <c:v>0.9118</c:v>
                </c:pt>
                <c:pt idx="13">
                  <c:v>0.9118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1D2-4C5A-B570-9CE50308C258}"/>
            </c:ext>
          </c:extLst>
        </c:ser>
        <c:ser>
          <c:idx val="0"/>
          <c:order val="5"/>
          <c:tx>
            <c:strRef>
              <c:f>MPA!$N$24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2-4C5A-B570-9CE50308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NittyGrittySheet!$B$261:$I$261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NittyGrittySheet!$B$262:$I$262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F2F-A92F-93C58A8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NittyGrittySheet!$B$265:$I$265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35A-B112-35952DB1106D}"/>
            </c:ext>
          </c:extLst>
        </c:ser>
        <c:ser>
          <c:idx val="1"/>
          <c:order val="1"/>
          <c:tx>
            <c:strRef>
              <c:f>NittyGrittySheet!$A$266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NittyGrittySheet!$B$266:$I$266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35A-B112-35952DB1106D}"/>
            </c:ext>
          </c:extLst>
        </c:ser>
        <c:ser>
          <c:idx val="3"/>
          <c:order val="3"/>
          <c:tx>
            <c:strRef>
              <c:f>NittyGrittySheet!$A$268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NittyGrittySheet!$B$268:$I$268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35A-B112-35952DB1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NittyGrittySheet!$A$267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NittyGrittySheet!$B$267:$AL$267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D-435A-B112-35952DB11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NittyGrittySheet!$A$269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NittyGrittySheet!$B$269:$AL$269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D-435A-B112-35952DB11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NittyGrittySheet!$B$270:$AL$270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5D-435A-B112-35952DB11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NittyGrittySheet!$B$271:$AL$271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D-435A-B112-35952DB11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NittyGrittySheet!$B$272:$AL$272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D-435A-B112-35952DB11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NittyGrittySheet!$B$273:$AL$273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5D-435A-B112-35952DB11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NittyGrittySheet!$B$274:$AL$274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D5D-435A-B112-35952DB11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NittyGrittySheet!$B$275:$AL$275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36</c:v>
                      </c:pt>
                      <c:pt idx="3">
                        <c:v>36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36</c:v>
                      </c:pt>
                      <c:pt idx="7">
                        <c:v>36</c:v>
                      </c:pt>
                      <c:pt idx="8">
                        <c:v>36</c:v>
                      </c:pt>
                      <c:pt idx="9">
                        <c:v>36</c:v>
                      </c:pt>
                      <c:pt idx="10">
                        <c:v>36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35</c:v>
                      </c:pt>
                      <c:pt idx="14">
                        <c:v>35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35</c:v>
                      </c:pt>
                      <c:pt idx="18">
                        <c:v>35</c:v>
                      </c:pt>
                      <c:pt idx="19">
                        <c:v>35</c:v>
                      </c:pt>
                      <c:pt idx="20">
                        <c:v>35</c:v>
                      </c:pt>
                      <c:pt idx="21">
                        <c:v>35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35</c:v>
                      </c:pt>
                      <c:pt idx="25">
                        <c:v>35</c:v>
                      </c:pt>
                      <c:pt idx="26">
                        <c:v>35</c:v>
                      </c:pt>
                      <c:pt idx="27">
                        <c:v>35</c:v>
                      </c:pt>
                      <c:pt idx="28">
                        <c:v>35</c:v>
                      </c:pt>
                      <c:pt idx="29">
                        <c:v>35</c:v>
                      </c:pt>
                      <c:pt idx="30">
                        <c:v>35</c:v>
                      </c:pt>
                      <c:pt idx="31">
                        <c:v>35</c:v>
                      </c:pt>
                      <c:pt idx="32">
                        <c:v>35</c:v>
                      </c:pt>
                      <c:pt idx="33">
                        <c:v>35</c:v>
                      </c:pt>
                      <c:pt idx="34">
                        <c:v>35</c:v>
                      </c:pt>
                      <c:pt idx="35">
                        <c:v>35</c:v>
                      </c:pt>
                      <c:pt idx="36">
                        <c:v>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5D-435A-B112-35952DB1106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0</xdr:row>
      <xdr:rowOff>385761</xdr:rowOff>
    </xdr:from>
    <xdr:to>
      <xdr:col>7</xdr:col>
      <xdr:colOff>47625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3FBBA-6BA0-4F65-A770-31AF4C3D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227477</xdr:colOff>
      <xdr:row>1</xdr:row>
      <xdr:rowOff>14285</xdr:rowOff>
    </xdr:from>
    <xdr:to>
      <xdr:col>19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CE068-51A7-4EB7-8E79-C78F0074B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71F8F-A287-4582-BCDC-69464DC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358DCA-25AA-4065-BA00-E26666DD0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0</xdr:row>
      <xdr:rowOff>390524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1058F-C0F1-440E-A3E3-654096DEF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9524</xdr:rowOff>
    </xdr:from>
    <xdr:to>
      <xdr:col>19</xdr:col>
      <xdr:colOff>0</xdr:colOff>
      <xdr:row>18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FFD928-2459-4B16-B16F-137A8CB0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16CB1-BB3D-4906-96BC-376B7FA5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2FB04A-EBC4-48D2-9487-6780C6A8D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9525</xdr:rowOff>
    </xdr:from>
    <xdr:to>
      <xdr:col>19</xdr:col>
      <xdr:colOff>0</xdr:colOff>
      <xdr:row>18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ADB65-D7BE-488E-962D-F090A169B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FEE55-249A-4666-B713-CF2BD417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90CD0-42DF-4D7B-97D5-76CEB6107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219074</xdr:colOff>
      <xdr:row>1</xdr:row>
      <xdr:rowOff>0</xdr:rowOff>
    </xdr:from>
    <xdr:to>
      <xdr:col>18</xdr:col>
      <xdr:colOff>485774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9EC14E-A094-4206-BC5C-615BFC26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8E9F9-AEAA-4879-8BAE-815533D0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8C4FC7-732F-4328-89D6-F40DDC6D2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18</xdr:col>
      <xdr:colOff>476250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EBF49-16A7-49E0-B5CB-F1C420E5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B3D7C-AD0B-4A41-954B-1142BE22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</xdr:row>
      <xdr:rowOff>0</xdr:rowOff>
    </xdr:from>
    <xdr:to>
      <xdr:col>7</xdr:col>
      <xdr:colOff>57149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64C177-5A36-4060-835A-BA2891D0C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1</xdr:rowOff>
    </xdr:from>
    <xdr:to>
      <xdr:col>19</xdr:col>
      <xdr:colOff>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2B3B1-2511-4090-848A-18DE76C18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FB1D4-3C04-456B-9CFA-B4A07422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BDFFC-58C7-4DA6-BC27-90CD4DB9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19</xdr:col>
      <xdr:colOff>0</xdr:colOff>
      <xdr:row>18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26D6A8-24ED-4C93-9C00-6B2311629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51E71-A9D2-4632-9F57-C574792D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A4BCCC-995F-4933-B578-9DA7AFB0A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0</xdr:row>
      <xdr:rowOff>381000</xdr:rowOff>
    </xdr:from>
    <xdr:to>
      <xdr:col>19</xdr:col>
      <xdr:colOff>9525</xdr:colOff>
      <xdr:row>19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E68171-4A11-4683-8EC2-A1F7FE0D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C190-9AE0-4854-9417-AE71209E9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9CA06-4318-48C4-A942-B5AF6E67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</xdr:row>
      <xdr:rowOff>0</xdr:rowOff>
    </xdr:from>
    <xdr:to>
      <xdr:col>19</xdr:col>
      <xdr:colOff>9525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3E7364-A8DB-4731-97C3-0660A28B8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D833-1A3C-43BD-8026-7E8CB36F5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0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027D06-C7F3-48ED-BD1C-A2221C2A3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CDB11-A2D2-4A4F-81B4-D7757E78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ED577-5AA6-4DBF-8E7A-AD8B84400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1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9251D-B671-42EC-BED0-67EAC6AB0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53877-DB7C-43EA-A183-B76EC9E6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DEBB-88D1-4AA7-8997-D7ED1BE6C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0</xdr:rowOff>
    </xdr:from>
    <xdr:to>
      <xdr:col>7</xdr:col>
      <xdr:colOff>0</xdr:colOff>
      <xdr:row>19</xdr:row>
      <xdr:rowOff>22859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4F630-FDFF-418C-9EB7-2BDCBC19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22859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A1A83E-7EF8-4AEB-82A3-09697EBA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76399-AA4A-4722-9A6A-E82BC614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0</xdr:rowOff>
    </xdr:from>
    <xdr:to>
      <xdr:col>7</xdr:col>
      <xdr:colOff>19049</xdr:colOff>
      <xdr:row>19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87EB2-50DF-4644-BB40-E8A3C7C2B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6066E-C9C8-4FE3-9CC3-6D969963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8AA7-0F0E-4419-BF61-26127246A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DF622-C185-4FB4-929F-79609EA4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18</xdr:col>
      <xdr:colOff>533400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C59EA-A268-40A6-8FC3-D7A12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618D-213B-4128-8A5C-0E742DB9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3F35E-1D1F-48CE-B2E1-9E3293839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381001</xdr:rowOff>
    </xdr:from>
    <xdr:to>
      <xdr:col>18</xdr:col>
      <xdr:colOff>533400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38104C-4E65-4A98-BF14-4B00BE76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FEF257-0A90-4B66-A089-0FA47FC41378}" name="Table37" displayName="Table37" ref="M24:S38" totalsRowShown="0" dataDxfId="1386">
  <autoFilter ref="M24:S38" xr:uid="{94FEF257-0A90-4B66-A089-0FA47FC41378}"/>
  <tableColumns count="7">
    <tableColumn id="1" xr3:uid="{317454C9-B9F2-4455-A2B0-70457B75E1E7}" name="Month" dataDxfId="1385"/>
    <tableColumn id="8" xr3:uid="{193A01DC-0F37-49D4-81D2-2FD9D3291372}" name="2027" dataDxfId="1384" dataCellStyle="Percent"/>
    <tableColumn id="2" xr3:uid="{A0EE0496-4F5C-4AF5-BD38-FAA976A64E1A}" name="2026" dataDxfId="1383"/>
    <tableColumn id="3" xr3:uid="{B0B26AE9-98B4-4B9B-A70E-298A7D4595C8}" name="2025" dataDxfId="1382"/>
    <tableColumn id="4" xr3:uid="{C14C5A17-D490-4652-9F8D-2200F32E6C27}" name="2024" dataDxfId="1381"/>
    <tableColumn id="5" xr3:uid="{C4652A00-D08A-4AD1-BAAB-A1F44DC57852}" name="2023" dataDxfId="1380"/>
    <tableColumn id="6" xr3:uid="{2E1723CE-B7C1-4F8B-BB45-7ACE768FA13A}" name="2022" dataDxfId="137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AF903E-A345-43DC-952C-CC481C785FD3}" name="Table13" displayName="Table13" ref="F3:I19" totalsRowShown="0" headerRowDxfId="1378" dataDxfId="1377" tableBorderDxfId="1376">
  <autoFilter ref="F3:I19" xr:uid="{0EAF903E-A345-43DC-952C-CC481C785FD3}"/>
  <tableColumns count="4">
    <tableColumn id="1" xr3:uid="{4F1DA477-E79F-4903-97D2-F52F0D8A25FD}" name=" Month" dataDxfId="1375"/>
    <tableColumn id="2" xr3:uid="{67988522-7F92-4E5B-AF33-E76C15D258E3}" name="Accepted Offers" dataDxfId="1374"/>
    <tableColumn id="3" xr3:uid="{5D8F9A73-2528-4B12-8085-8CB0D33496D6}" name="Running Total" dataDxfId="1373"/>
    <tableColumn id="4" xr3:uid="{D45D17B9-15DD-41F6-AAE6-716BFA9BF6BE}" name="% Placed" dataDxfId="137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01A587-2118-4251-93AE-5AE2A368A346}" name="Table15" displayName="Table15" ref="K3:N19" totalsRowShown="0" headerRowDxfId="1371" dataDxfId="1370">
  <autoFilter ref="K3:N19" xr:uid="{6401A587-2118-4251-93AE-5AE2A368A346}"/>
  <tableColumns count="4">
    <tableColumn id="1" xr3:uid="{6F8A2BE4-B36B-4048-839C-BD321FE08081}" name=" Month" dataDxfId="1369"/>
    <tableColumn id="2" xr3:uid="{1629C4E8-AD23-4D0B-8A5A-6205A07B7B6D}" name="Accepted Offers" dataDxfId="1368"/>
    <tableColumn id="3" xr3:uid="{67C56FEF-8263-4173-A33B-169F6CA46CC7}" name="Running Total" dataDxfId="1367"/>
    <tableColumn id="4" xr3:uid="{4C785580-3E02-4645-B464-708B4289C1AE}" name="% Placed" dataDxfId="136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5E5496-5229-46F6-89F5-22BB3488139E}" name="Table33" displayName="Table33" ref="P3:S19" totalsRowShown="0" headerRowDxfId="1365" dataDxfId="1364">
  <autoFilter ref="P3:S19" xr:uid="{2F5E5496-5229-46F6-89F5-22BB3488139E}"/>
  <tableColumns count="4">
    <tableColumn id="1" xr3:uid="{2E481C29-A0D7-440E-8653-7598B1AC1AAC}" name=" Month" dataDxfId="1363"/>
    <tableColumn id="2" xr3:uid="{E7A42072-EA21-4B27-A906-44CE3DAFAAB4}" name="Accepted Offers" dataDxfId="1362"/>
    <tableColumn id="3" xr3:uid="{588A3F4B-F2C0-4419-813B-AB901F3196AE}" name="Running Total" dataDxfId="1361"/>
    <tableColumn id="4" xr3:uid="{6F3CB850-7ED2-46AC-B37A-FF172D05C822}" name="% Placed" dataDxfId="136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800D1E-2DA3-482F-BD61-7D9AC14DD46D}" name="Table34" displayName="Table34" ref="U3:X19" totalsRowShown="0" headerRowDxfId="1359" dataDxfId="1358">
  <autoFilter ref="U3:X19" xr:uid="{FD800D1E-2DA3-482F-BD61-7D9AC14DD46D}"/>
  <tableColumns count="4">
    <tableColumn id="1" xr3:uid="{2B231CC9-B90D-423A-BAB7-EAECC586BDED}" name="Placement Month" dataDxfId="1357"/>
    <tableColumn id="2" xr3:uid="{0DEEC702-AF52-4840-854A-F87C3740C11F}" name="Total Students" dataDxfId="1356"/>
    <tableColumn id="3" xr3:uid="{B066503D-D5D7-4E16-991F-B0046DF67663}" name="Running Total" dataDxfId="1355"/>
    <tableColumn id="4" xr3:uid="{E8BA2483-2807-4EB4-8189-E0169A1BA139}" name="% Placed" dataDxfId="135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3C49437-1B2A-47A8-A19C-8F0BB7548814}" name="Table35" displayName="Table35" ref="Z3:AC19" totalsRowShown="0" headerRowDxfId="1353" dataDxfId="1352">
  <autoFilter ref="Z3:AC19" xr:uid="{73C49437-1B2A-47A8-A19C-8F0BB7548814}"/>
  <tableColumns count="4">
    <tableColumn id="1" xr3:uid="{AB7EB772-8F7D-43A4-A2AF-5A351DDD8A04}" name="Placement Month" dataDxfId="1351"/>
    <tableColumn id="2" xr3:uid="{09894D5D-7F22-42D2-9FF9-361CF4C0C08C}" name="Total Students" dataDxfId="1350"/>
    <tableColumn id="3" xr3:uid="{045EA3EE-F3BF-4EA4-AE15-9886B42BF799}" name="Running Total" dataDxfId="1349"/>
    <tableColumn id="4" xr3:uid="{4057D49E-FB24-4777-8525-3E7D8E394621}" name="% Placed" dataDxfId="13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D351E94-16E7-42EB-9A5F-CD61F82683E4}" name="Table1337" displayName="Table1337" ref="A3:D19" totalsRowShown="0" headerRowDxfId="1347" dataDxfId="1346" tableBorderDxfId="1345">
  <autoFilter ref="A3:D19" xr:uid="{AD351E94-16E7-42EB-9A5F-CD61F82683E4}"/>
  <tableColumns count="4">
    <tableColumn id="1" xr3:uid="{4846B9DC-2933-4547-A193-517EE3BFE8EE}" name="Placement Month" dataDxfId="1344"/>
    <tableColumn id="2" xr3:uid="{CAB3D65B-1DCE-4B5C-A4BF-06A0F0766ED6}" name="Accepted Offers" dataDxfId="1343"/>
    <tableColumn id="3" xr3:uid="{32AEAA99-E4A1-4F2A-B6DE-0076ABD1F276}" name="Running Total" dataDxfId="1342"/>
    <tableColumn id="4" xr3:uid="{09CF740D-5835-48B4-B239-E2E0923F15ED}" name="% Placed" dataDxfId="13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BC830D-53F4-4601-9931-788B07C8FDA7}" name="Table14" displayName="Table14" ref="A23:I24" totalsRowShown="0" headerRowDxfId="1340" dataDxfId="1339" tableBorderDxfId="1338">
  <autoFilter ref="A23:I24" xr:uid="{63CF7AF0-AB99-4A18-9A12-F743EE842F1E}"/>
  <tableColumns count="9">
    <tableColumn id="1" xr3:uid="{E52BBACF-3154-0E4F-B4CF-06B895B84B19}" name="Placement" dataDxfId="1300"/>
    <tableColumn id="2" xr3:uid="{E52BBACF-3154-0E4F-B4CF-06B895B84B19}" name="06/26/2026" dataDxfId="1300"/>
    <tableColumn id="3" xr3:uid="{E52BBACF-3154-0E4F-B4CF-06B895B84B19}" name="07/10/2026" dataDxfId="1300"/>
    <tableColumn id="4" xr3:uid="{E52BBACF-3154-0E4F-B4CF-06B895B84B19}" name="07/17/2026" dataDxfId="1300"/>
    <tableColumn id="5" xr3:uid="{E52BBACF-3154-0E4F-B4CF-06B895B84B19}" name="07/24/2026" dataDxfId="1300"/>
    <tableColumn id="6" xr3:uid="{E52BBACF-3154-0E4F-B4CF-06B895B84B19}" name="07/31/2026" dataDxfId="1300"/>
    <tableColumn id="7" xr3:uid="{E52BBACF-3154-0E4F-B4CF-06B895B84B19}" name="08/07/2026" dataDxfId="1300"/>
    <tableColumn id="8" xr3:uid="{E52BBACF-3154-0E4F-B4CF-06B895B84B19}" name="08/14/2026" dataDxfId="1300"/>
    <tableColumn id="9" xr3:uid="{E52BBACF-3154-0E4F-B4CF-06B895B84B19}" name="08/21/2026" dataDxfId="130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ED6873-53CD-4ED5-B856-7F1555CC6197}" name="Table25" displayName="Table25" ref="A26:I37" totalsRowShown="0" headerRowDxfId="1299" dataDxfId="1298" tableBorderDxfId="1297">
  <autoFilter ref="A26:I37" xr:uid="{0438CA60-DD76-4136-BC18-AD22F5B6EB0C}"/>
  <tableColumns count="9">
    <tableColumn id="1" xr3:uid="{12FB596F-0F81-EB4C-B22A-ED5437B57F9C}" name="Job Search Status" dataDxfId="1259"/>
    <tableColumn id="2" xr3:uid="{12FB596F-0F81-EB4C-B22A-ED5437B57F9C}" name="06/26/2026" dataDxfId="1259"/>
    <tableColumn id="3" xr3:uid="{12FB596F-0F81-EB4C-B22A-ED5437B57F9C}" name="07/10/2026" dataDxfId="1259"/>
    <tableColumn id="4" xr3:uid="{12FB596F-0F81-EB4C-B22A-ED5437B57F9C}" name="07/17/2026" dataDxfId="1259"/>
    <tableColumn id="5" xr3:uid="{12FB596F-0F81-EB4C-B22A-ED5437B57F9C}" name="07/24/2026" dataDxfId="1259"/>
    <tableColumn id="6" xr3:uid="{12FB596F-0F81-EB4C-B22A-ED5437B57F9C}" name="07/31/2026" dataDxfId="1259"/>
    <tableColumn id="7" xr3:uid="{12FB596F-0F81-EB4C-B22A-ED5437B57F9C}" name="08/07/2026" dataDxfId="1259"/>
    <tableColumn id="8" xr3:uid="{12FB596F-0F81-EB4C-B22A-ED5437B57F9C}" name="08/14/2026" dataDxfId="1259"/>
    <tableColumn id="9" xr3:uid="{12FB596F-0F81-EB4C-B22A-ED5437B57F9C}" name="08/21/2026" dataDxfId="125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8CA60-DD76-4136-BC18-AD22F5B6EB0C}" name="Table2" displayName="Table2" ref="A43:I54" totalsRowShown="0" headerRowDxfId="1258" dataDxfId="1257" tableBorderDxfId="1256">
  <autoFilter ref="A43:I54" xr:uid="{0438CA60-DD76-4136-BC18-AD22F5B6EB0C}"/>
  <tableColumns count="9">
    <tableColumn id="1" xr3:uid="{19F1AADF-C0E5-2E49-9151-C619D2E04C47}" name="Job Search Status" dataDxfId="1218"/>
    <tableColumn id="2" xr3:uid="{19F1AADF-C0E5-2E49-9151-C619D2E04C47}" name="06/26/2026" dataDxfId="1218"/>
    <tableColumn id="3" xr3:uid="{19F1AADF-C0E5-2E49-9151-C619D2E04C47}" name="07/10/2026" dataDxfId="1218"/>
    <tableColumn id="4" xr3:uid="{19F1AADF-C0E5-2E49-9151-C619D2E04C47}" name="07/17/2026" dataDxfId="1218"/>
    <tableColumn id="5" xr3:uid="{19F1AADF-C0E5-2E49-9151-C619D2E04C47}" name="07/24/2026" dataDxfId="1218"/>
    <tableColumn id="6" xr3:uid="{19F1AADF-C0E5-2E49-9151-C619D2E04C47}" name="07/31/2026" dataDxfId="1218"/>
    <tableColumn id="7" xr3:uid="{19F1AADF-C0E5-2E49-9151-C619D2E04C47}" name="08/07/2026" dataDxfId="1218"/>
    <tableColumn id="8" xr3:uid="{19F1AADF-C0E5-2E49-9151-C619D2E04C47}" name="08/14/2026" dataDxfId="1218"/>
    <tableColumn id="9" xr3:uid="{19F1AADF-C0E5-2E49-9151-C619D2E04C47}" name="08/21/2026" dataDxfId="1218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F7AF0-AB99-4A18-9A12-F743EE842F1E}" name="Table1" displayName="Table1" ref="A40:I41" totalsRowShown="0" headerRowDxfId="1217" dataDxfId="1216" tableBorderDxfId="1215">
  <autoFilter ref="A40:I41" xr:uid="{63CF7AF0-AB99-4A18-9A12-F743EE842F1E}"/>
  <tableColumns count="9">
    <tableColumn id="1" xr3:uid="{19F48899-1DB5-2941-9A38-DC09D8566988}" name="Placement" dataDxfId="1178" dataCellStyle="Percent"/>
    <tableColumn id="2" xr3:uid="{19F48899-1DB5-2941-9A38-DC09D8566988}" name="06/26/2026" dataDxfId="1178" dataCellStyle="Percent"/>
    <tableColumn id="3" xr3:uid="{19F48899-1DB5-2941-9A38-DC09D8566988}" name="07/10/2026" dataDxfId="1178" dataCellStyle="Percent"/>
    <tableColumn id="4" xr3:uid="{19F48899-1DB5-2941-9A38-DC09D8566988}" name="07/17/2026" dataDxfId="1178" dataCellStyle="Percent"/>
    <tableColumn id="5" xr3:uid="{19F48899-1DB5-2941-9A38-DC09D8566988}" name="07/24/2026" dataDxfId="1178" dataCellStyle="Percent"/>
    <tableColumn id="6" xr3:uid="{19F48899-1DB5-2941-9A38-DC09D8566988}" name="07/31/2026" dataDxfId="1178" dataCellStyle="Percent"/>
    <tableColumn id="7" xr3:uid="{19F48899-1DB5-2941-9A38-DC09D8566988}" name="08/07/2026" dataDxfId="1178" dataCellStyle="Percent"/>
    <tableColumn id="8" xr3:uid="{19F48899-1DB5-2941-9A38-DC09D8566988}" name="08/14/2026" dataDxfId="1178" dataCellStyle="Percent"/>
    <tableColumn id="9" xr3:uid="{19F48899-1DB5-2941-9A38-DC09D8566988}" name="08/21/2026" dataDxfId="1178" dataCellStyle="Percent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167DE-DD21-413C-A643-70C6198AA9C4}" name="Table16" displayName="Table16" ref="A57:I58" totalsRowShown="0" headerRowDxfId="1177" dataDxfId="1176" tableBorderDxfId="1175">
  <autoFilter ref="A57:I58" xr:uid="{63CF7AF0-AB99-4A18-9A12-F743EE842F1E}"/>
  <tableColumns count="9">
    <tableColumn id="1" xr3:uid="{B9EFF093-705D-9547-957B-1FD33353439B}" name="Placement" dataDxfId="1137"/>
    <tableColumn id="2" xr3:uid="{B9EFF093-705D-9547-957B-1FD33353439B}" name="06/26/2026" dataDxfId="1137"/>
    <tableColumn id="3" xr3:uid="{B9EFF093-705D-9547-957B-1FD33353439B}" name="07/10/2026" dataDxfId="1137"/>
    <tableColumn id="4" xr3:uid="{B9EFF093-705D-9547-957B-1FD33353439B}" name="07/17/2026" dataDxfId="1137"/>
    <tableColumn id="5" xr3:uid="{B9EFF093-705D-9547-957B-1FD33353439B}" name="07/24/2026" dataDxfId="1137"/>
    <tableColumn id="6" xr3:uid="{B9EFF093-705D-9547-957B-1FD33353439B}" name="07/31/2026" dataDxfId="1137"/>
    <tableColumn id="7" xr3:uid="{B9EFF093-705D-9547-957B-1FD33353439B}" name="08/07/2026" dataDxfId="1137"/>
    <tableColumn id="8" xr3:uid="{B9EFF093-705D-9547-957B-1FD33353439B}" name="08/14/2026" dataDxfId="1137"/>
    <tableColumn id="9" xr3:uid="{B9EFF093-705D-9547-957B-1FD33353439B}" name="08/21/2026" dataDxfId="1137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A1146-7BB0-4525-A768-2105EA17C247}" name="Table27" displayName="Table27" ref="A60:I71" totalsRowShown="0" headerRowDxfId="1136" dataDxfId="1135" tableBorderDxfId="1134">
  <autoFilter ref="A60:I71" xr:uid="{0438CA60-DD76-4136-BC18-AD22F5B6EB0C}"/>
  <tableColumns count="9">
    <tableColumn id="1" xr3:uid="{5F64B0F2-0D44-DA49-96E6-D36CDDBE5F32}" name="Job Search Status" dataDxfId="1096"/>
    <tableColumn id="2" xr3:uid="{5F64B0F2-0D44-DA49-96E6-D36CDDBE5F32}" name="06/26/2026" dataDxfId="1096"/>
    <tableColumn id="3" xr3:uid="{5F64B0F2-0D44-DA49-96E6-D36CDDBE5F32}" name="07/10/2026" dataDxfId="1096"/>
    <tableColumn id="4" xr3:uid="{5F64B0F2-0D44-DA49-96E6-D36CDDBE5F32}" name="07/17/2026" dataDxfId="1096"/>
    <tableColumn id="5" xr3:uid="{5F64B0F2-0D44-DA49-96E6-D36CDDBE5F32}" name="07/24/2026" dataDxfId="1096"/>
    <tableColumn id="6" xr3:uid="{5F64B0F2-0D44-DA49-96E6-D36CDDBE5F32}" name="07/31/2026" dataDxfId="1096"/>
    <tableColumn id="7" xr3:uid="{5F64B0F2-0D44-DA49-96E6-D36CDDBE5F32}" name="08/07/2026" dataDxfId="1096"/>
    <tableColumn id="8" xr3:uid="{5F64B0F2-0D44-DA49-96E6-D36CDDBE5F32}" name="08/14/2026" dataDxfId="1096"/>
    <tableColumn id="9" xr3:uid="{5F64B0F2-0D44-DA49-96E6-D36CDDBE5F32}" name="08/21/2026" dataDxfId="1096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29484-4506-4982-A1BE-19C27BBB42A9}" name="Table168" displayName="Table168" ref="A74:I75" totalsRowShown="0" headerRowDxfId="1095" dataDxfId="1094" tableBorderDxfId="1093">
  <autoFilter ref="A74:I75" xr:uid="{63CF7AF0-AB99-4A18-9A12-F743EE842F1E}"/>
  <tableColumns count="9">
    <tableColumn id="1" xr3:uid="{FBE4F287-CF04-1C44-8523-37841CD1A587}" name="Placement" dataDxfId="1055"/>
    <tableColumn id="2" xr3:uid="{FBE4F287-CF04-1C44-8523-37841CD1A587}" name="06/26/2026" dataDxfId="1055"/>
    <tableColumn id="3" xr3:uid="{FBE4F287-CF04-1C44-8523-37841CD1A587}" name="07/10/2026" dataDxfId="1055"/>
    <tableColumn id="4" xr3:uid="{FBE4F287-CF04-1C44-8523-37841CD1A587}" name="07/17/2026" dataDxfId="1055"/>
    <tableColumn id="5" xr3:uid="{FBE4F287-CF04-1C44-8523-37841CD1A587}" name="07/24/2026" dataDxfId="1055"/>
    <tableColumn id="6" xr3:uid="{FBE4F287-CF04-1C44-8523-37841CD1A587}" name="07/31/2026" dataDxfId="1055"/>
    <tableColumn id="7" xr3:uid="{FBE4F287-CF04-1C44-8523-37841CD1A587}" name="08/07/2026" dataDxfId="1055"/>
    <tableColumn id="8" xr3:uid="{FBE4F287-CF04-1C44-8523-37841CD1A587}" name="08/14/2026" dataDxfId="1055"/>
    <tableColumn id="9" xr3:uid="{FBE4F287-CF04-1C44-8523-37841CD1A587}" name="08/21/2026" dataDxfId="1055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048051-8B0F-477B-8759-6406C31FE19C}" name="Table279" displayName="Table279" ref="A77:I88" totalsRowShown="0" headerRowDxfId="1054" dataDxfId="1053" tableBorderDxfId="1052">
  <autoFilter ref="A77:I88" xr:uid="{0438CA60-DD76-4136-BC18-AD22F5B6EB0C}"/>
  <tableColumns count="9">
    <tableColumn id="1" xr3:uid="{EE07A041-D953-BC4F-B179-D2BB89E471E2}" name="Job Search Status" dataDxfId="1014"/>
    <tableColumn id="2" xr3:uid="{EE07A041-D953-BC4F-B179-D2BB89E471E2}" name="06/26/2026" dataDxfId="1014"/>
    <tableColumn id="3" xr3:uid="{EE07A041-D953-BC4F-B179-D2BB89E471E2}" name="07/10/2026" dataDxfId="1014"/>
    <tableColumn id="4" xr3:uid="{EE07A041-D953-BC4F-B179-D2BB89E471E2}" name="07/17/2026" dataDxfId="1014"/>
    <tableColumn id="5" xr3:uid="{EE07A041-D953-BC4F-B179-D2BB89E471E2}" name="07/24/2026" dataDxfId="1014"/>
    <tableColumn id="6" xr3:uid="{EE07A041-D953-BC4F-B179-D2BB89E471E2}" name="07/31/2026" dataDxfId="1014"/>
    <tableColumn id="7" xr3:uid="{EE07A041-D953-BC4F-B179-D2BB89E471E2}" name="08/07/2026" dataDxfId="1014"/>
    <tableColumn id="8" xr3:uid="{EE07A041-D953-BC4F-B179-D2BB89E471E2}" name="08/14/2026" dataDxfId="1014"/>
    <tableColumn id="9" xr3:uid="{EE07A041-D953-BC4F-B179-D2BB89E471E2}" name="08/21/2026" dataDxfId="1014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600EE5-A091-48AD-9D20-6602B0D9A9E4}" name="Table110" displayName="Table110" ref="A91:I92" totalsRowShown="0" headerRowDxfId="1013" dataDxfId="1012" tableBorderDxfId="1011">
  <autoFilter ref="A91:I92" xr:uid="{63CF7AF0-AB99-4A18-9A12-F743EE842F1E}"/>
  <tableColumns count="9">
    <tableColumn id="1" xr3:uid="{F937FE90-7DF2-F445-864A-E19B0BB65531}" name="Placement" dataDxfId="973"/>
    <tableColumn id="2" xr3:uid="{F937FE90-7DF2-F445-864A-E19B0BB65531}" name="06/26/2026" dataDxfId="973"/>
    <tableColumn id="3" xr3:uid="{F937FE90-7DF2-F445-864A-E19B0BB65531}" name="07/10/2026" dataDxfId="973"/>
    <tableColumn id="4" xr3:uid="{F937FE90-7DF2-F445-864A-E19B0BB65531}" name="07/17/2026" dataDxfId="973"/>
    <tableColumn id="5" xr3:uid="{F937FE90-7DF2-F445-864A-E19B0BB65531}" name="07/24/2026" dataDxfId="973"/>
    <tableColumn id="6" xr3:uid="{F937FE90-7DF2-F445-864A-E19B0BB65531}" name="07/31/2026" dataDxfId="973"/>
    <tableColumn id="7" xr3:uid="{F937FE90-7DF2-F445-864A-E19B0BB65531}" name="08/07/2026" dataDxfId="973"/>
    <tableColumn id="8" xr3:uid="{F937FE90-7DF2-F445-864A-E19B0BB65531}" name="08/14/2026" dataDxfId="973"/>
    <tableColumn id="9" xr3:uid="{F937FE90-7DF2-F445-864A-E19B0BB65531}" name="08/21/2026" dataDxfId="973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79D42-1B16-4B52-82BD-6523F8508ECB}" name="Table211" displayName="Table211" ref="A94:I105" totalsRowShown="0" headerRowDxfId="972" dataDxfId="971" tableBorderDxfId="970">
  <autoFilter ref="A94:I105" xr:uid="{0438CA60-DD76-4136-BC18-AD22F5B6EB0C}"/>
  <tableColumns count="9">
    <tableColumn id="1" xr3:uid="{E9CCCB36-B335-B440-AD5B-B097524AE949}" name="Job Search Status" dataDxfId="932"/>
    <tableColumn id="2" xr3:uid="{E9CCCB36-B335-B440-AD5B-B097524AE949}" name="06/26/2026" dataDxfId="932"/>
    <tableColumn id="3" xr3:uid="{E9CCCB36-B335-B440-AD5B-B097524AE949}" name="07/10/2026" dataDxfId="932"/>
    <tableColumn id="4" xr3:uid="{E9CCCB36-B335-B440-AD5B-B097524AE949}" name="07/17/2026" dataDxfId="932"/>
    <tableColumn id="5" xr3:uid="{E9CCCB36-B335-B440-AD5B-B097524AE949}" name="07/24/2026" dataDxfId="932"/>
    <tableColumn id="6" xr3:uid="{E9CCCB36-B335-B440-AD5B-B097524AE949}" name="07/31/2026" dataDxfId="932"/>
    <tableColumn id="7" xr3:uid="{E9CCCB36-B335-B440-AD5B-B097524AE949}" name="08/07/2026" dataDxfId="932"/>
    <tableColumn id="8" xr3:uid="{E9CCCB36-B335-B440-AD5B-B097524AE949}" name="08/14/2026" dataDxfId="932"/>
    <tableColumn id="9" xr3:uid="{E9CCCB36-B335-B440-AD5B-B097524AE949}" name="08/21/2026" dataDxfId="932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7C5D47-CB82-421E-8D81-6AE2261A1172}" name="Table11012" displayName="Table11012" ref="A108:I109" totalsRowShown="0" headerRowDxfId="931" dataDxfId="930" tableBorderDxfId="929">
  <autoFilter ref="A108:I109" xr:uid="{63CF7AF0-AB99-4A18-9A12-F743EE842F1E}"/>
  <tableColumns count="9">
    <tableColumn id="1" xr3:uid="{07F90EB8-35A1-774C-B436-C823BDD5686F}" name="Placement" dataDxfId="891"/>
    <tableColumn id="2" xr3:uid="{07F90EB8-35A1-774C-B436-C823BDD5686F}" name="06/26/2026" dataDxfId="891"/>
    <tableColumn id="3" xr3:uid="{07F90EB8-35A1-774C-B436-C823BDD5686F}" name="07/10/2026" dataDxfId="891"/>
    <tableColumn id="4" xr3:uid="{07F90EB8-35A1-774C-B436-C823BDD5686F}" name="07/17/2026" dataDxfId="891"/>
    <tableColumn id="5" xr3:uid="{07F90EB8-35A1-774C-B436-C823BDD5686F}" name="07/24/2026" dataDxfId="891"/>
    <tableColumn id="6" xr3:uid="{07F90EB8-35A1-774C-B436-C823BDD5686F}" name="07/31/2026" dataDxfId="891"/>
    <tableColumn id="7" xr3:uid="{07F90EB8-35A1-774C-B436-C823BDD5686F}" name="08/07/2026" dataDxfId="891"/>
    <tableColumn id="8" xr3:uid="{07F90EB8-35A1-774C-B436-C823BDD5686F}" name="08/14/2026" dataDxfId="891"/>
    <tableColumn id="9" xr3:uid="{07F90EB8-35A1-774C-B436-C823BDD5686F}" name="08/21/2026" dataDxfId="891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A358D2-AB2D-4B7D-AAAF-5762DE8C3AF8}" name="Table21113" displayName="Table21113" ref="A111:I122" totalsRowShown="0" headerRowDxfId="890" dataDxfId="889" tableBorderDxfId="888">
  <autoFilter ref="A111:I122" xr:uid="{0438CA60-DD76-4136-BC18-AD22F5B6EB0C}"/>
  <tableColumns count="9">
    <tableColumn id="1" xr3:uid="{D6AFC20C-7B10-E941-A37E-7CEF5808F245}" name="Job Search Status" dataDxfId="850"/>
    <tableColumn id="2" xr3:uid="{D6AFC20C-7B10-E941-A37E-7CEF5808F245}" name="06/26/2026" dataDxfId="850"/>
    <tableColumn id="3" xr3:uid="{D6AFC20C-7B10-E941-A37E-7CEF5808F245}" name="07/10/2026" dataDxfId="850"/>
    <tableColumn id="4" xr3:uid="{D6AFC20C-7B10-E941-A37E-7CEF5808F245}" name="07/17/2026" dataDxfId="850"/>
    <tableColumn id="5" xr3:uid="{D6AFC20C-7B10-E941-A37E-7CEF5808F245}" name="07/24/2026" dataDxfId="850"/>
    <tableColumn id="6" xr3:uid="{D6AFC20C-7B10-E941-A37E-7CEF5808F245}" name="07/31/2026" dataDxfId="850"/>
    <tableColumn id="7" xr3:uid="{D6AFC20C-7B10-E941-A37E-7CEF5808F245}" name="08/07/2026" dataDxfId="850"/>
    <tableColumn id="8" xr3:uid="{D6AFC20C-7B10-E941-A37E-7CEF5808F245}" name="08/14/2026" dataDxfId="850"/>
    <tableColumn id="9" xr3:uid="{D6AFC20C-7B10-E941-A37E-7CEF5808F245}" name="08/21/2026" dataDxfId="850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9BE2E7-7668-46AF-A82B-1AD5D599323F}" name="Table1101216" displayName="Table1101216" ref="A125:I126" totalsRowShown="0" headerRowDxfId="849" dataDxfId="848" tableBorderDxfId="847">
  <autoFilter ref="A125:I126" xr:uid="{63CF7AF0-AB99-4A18-9A12-F743EE842F1E}"/>
  <tableColumns count="9">
    <tableColumn id="1" xr3:uid="{F0A32282-389E-424A-A308-1DA77A10553D}" name="Placement" dataDxfId="809"/>
    <tableColumn id="2" xr3:uid="{F0A32282-389E-424A-A308-1DA77A10553D}" name="06/26/2026" dataDxfId="809"/>
    <tableColumn id="3" xr3:uid="{F0A32282-389E-424A-A308-1DA77A10553D}" name="07/10/2026" dataDxfId="809"/>
    <tableColumn id="4" xr3:uid="{F0A32282-389E-424A-A308-1DA77A10553D}" name="07/17/2026" dataDxfId="809"/>
    <tableColumn id="5" xr3:uid="{F0A32282-389E-424A-A308-1DA77A10553D}" name="07/24/2026" dataDxfId="809"/>
    <tableColumn id="6" xr3:uid="{F0A32282-389E-424A-A308-1DA77A10553D}" name="07/31/2026" dataDxfId="809"/>
    <tableColumn id="7" xr3:uid="{F0A32282-389E-424A-A308-1DA77A10553D}" name="08/07/2026" dataDxfId="809"/>
    <tableColumn id="8" xr3:uid="{F0A32282-389E-424A-A308-1DA77A10553D}" name="08/14/2026" dataDxfId="809"/>
    <tableColumn id="9" xr3:uid="{F0A32282-389E-424A-A308-1DA77A10553D}" name="08/21/2026" dataDxfId="809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B80A00-A354-4657-ABD8-8950B988D582}" name="Table2111317" displayName="Table2111317" ref="A128:I139" totalsRowShown="0" headerRowDxfId="808" dataDxfId="807" tableBorderDxfId="806">
  <autoFilter ref="A128:I139" xr:uid="{0438CA60-DD76-4136-BC18-AD22F5B6EB0C}"/>
  <tableColumns count="9">
    <tableColumn id="1" xr3:uid="{D3343C9C-728A-A245-A2D9-055F60C8BECD}" name="Job Search Status" dataDxfId="768"/>
    <tableColumn id="2" xr3:uid="{D3343C9C-728A-A245-A2D9-055F60C8BECD}" name="06/26/2026" dataDxfId="768"/>
    <tableColumn id="3" xr3:uid="{D3343C9C-728A-A245-A2D9-055F60C8BECD}" name="07/10/2026" dataDxfId="768"/>
    <tableColumn id="4" xr3:uid="{D3343C9C-728A-A245-A2D9-055F60C8BECD}" name="07/17/2026" dataDxfId="768"/>
    <tableColumn id="5" xr3:uid="{D3343C9C-728A-A245-A2D9-055F60C8BECD}" name="07/24/2026" dataDxfId="768"/>
    <tableColumn id="6" xr3:uid="{D3343C9C-728A-A245-A2D9-055F60C8BECD}" name="07/31/2026" dataDxfId="768"/>
    <tableColumn id="7" xr3:uid="{D3343C9C-728A-A245-A2D9-055F60C8BECD}" name="08/07/2026" dataDxfId="768"/>
    <tableColumn id="8" xr3:uid="{D3343C9C-728A-A245-A2D9-055F60C8BECD}" name="08/14/2026" dataDxfId="768"/>
    <tableColumn id="9" xr3:uid="{D3343C9C-728A-A245-A2D9-055F60C8BECD}" name="08/21/2026" dataDxfId="768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AD32EB-D42F-4D13-9BF7-77B0D596BFEC}" name="Table110121618" displayName="Table110121618" ref="A142:I143" totalsRowShown="0" headerRowDxfId="767" dataDxfId="766" tableBorderDxfId="765">
  <autoFilter ref="A142:I143" xr:uid="{63CF7AF0-AB99-4A18-9A12-F743EE842F1E}"/>
  <tableColumns count="9">
    <tableColumn id="1" xr3:uid="{3D4041AB-CFE8-3042-B581-99885E84CF3B}" name="Placement" dataDxfId="727"/>
    <tableColumn id="2" xr3:uid="{3D4041AB-CFE8-3042-B581-99885E84CF3B}" name="06/26/2026" dataDxfId="727"/>
    <tableColumn id="3" xr3:uid="{3D4041AB-CFE8-3042-B581-99885E84CF3B}" name="07/10/2026" dataDxfId="727"/>
    <tableColumn id="4" xr3:uid="{3D4041AB-CFE8-3042-B581-99885E84CF3B}" name="07/17/2026" dataDxfId="727"/>
    <tableColumn id="5" xr3:uid="{3D4041AB-CFE8-3042-B581-99885E84CF3B}" name="07/24/2026" dataDxfId="727"/>
    <tableColumn id="6" xr3:uid="{3D4041AB-CFE8-3042-B581-99885E84CF3B}" name="07/31/2026" dataDxfId="727"/>
    <tableColumn id="7" xr3:uid="{3D4041AB-CFE8-3042-B581-99885E84CF3B}" name="08/07/2026" dataDxfId="727"/>
    <tableColumn id="8" xr3:uid="{3D4041AB-CFE8-3042-B581-99885E84CF3B}" name="08/14/2026" dataDxfId="727"/>
    <tableColumn id="9" xr3:uid="{3D4041AB-CFE8-3042-B581-99885E84CF3B}" name="08/21/2026" dataDxfId="727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DC8ED9-2EF6-4F4B-8102-8B8EE123285F}" name="Table211131719" displayName="Table211131719" ref="A145:I156" totalsRowShown="0" headerRowDxfId="726" dataDxfId="725" tableBorderDxfId="724">
  <autoFilter ref="A145:I156" xr:uid="{0438CA60-DD76-4136-BC18-AD22F5B6EB0C}"/>
  <tableColumns count="9">
    <tableColumn id="1" xr3:uid="{233A2519-5F3A-A243-A8CE-5DDC6151FF50}" name="Job Search Status" dataDxfId="686"/>
    <tableColumn id="2" xr3:uid="{233A2519-5F3A-A243-A8CE-5DDC6151FF50}" name="06/26/2026" dataDxfId="686"/>
    <tableColumn id="3" xr3:uid="{233A2519-5F3A-A243-A8CE-5DDC6151FF50}" name="07/10/2026" dataDxfId="686"/>
    <tableColumn id="4" xr3:uid="{233A2519-5F3A-A243-A8CE-5DDC6151FF50}" name="07/17/2026" dataDxfId="686"/>
    <tableColumn id="5" xr3:uid="{233A2519-5F3A-A243-A8CE-5DDC6151FF50}" name="07/24/2026" dataDxfId="686"/>
    <tableColumn id="6" xr3:uid="{233A2519-5F3A-A243-A8CE-5DDC6151FF50}" name="07/31/2026" dataDxfId="686"/>
    <tableColumn id="7" xr3:uid="{233A2519-5F3A-A243-A8CE-5DDC6151FF50}" name="08/07/2026" dataDxfId="686"/>
    <tableColumn id="8" xr3:uid="{233A2519-5F3A-A243-A8CE-5DDC6151FF50}" name="08/14/2026" dataDxfId="686"/>
    <tableColumn id="9" xr3:uid="{233A2519-5F3A-A243-A8CE-5DDC6151FF50}" name="08/21/2026" dataDxfId="686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08D952-D9CD-4E23-84F3-BFA41AE93218}" name="Table11012161820" displayName="Table11012161820" ref="A159:I160" totalsRowShown="0" headerRowDxfId="685" dataDxfId="684" tableBorderDxfId="683">
  <autoFilter ref="A159:I160" xr:uid="{63CF7AF0-AB99-4A18-9A12-F743EE842F1E}"/>
  <tableColumns count="9">
    <tableColumn id="1" xr3:uid="{1B15D96D-A7AF-5F4C-BBD0-5B48A9655061}" name="Placement" dataDxfId="645"/>
    <tableColumn id="2" xr3:uid="{1B15D96D-A7AF-5F4C-BBD0-5B48A9655061}" name="06/26/2026" dataDxfId="645"/>
    <tableColumn id="3" xr3:uid="{1B15D96D-A7AF-5F4C-BBD0-5B48A9655061}" name="07/10/2026" dataDxfId="645"/>
    <tableColumn id="4" xr3:uid="{1B15D96D-A7AF-5F4C-BBD0-5B48A9655061}" name="07/17/2026" dataDxfId="645"/>
    <tableColumn id="5" xr3:uid="{1B15D96D-A7AF-5F4C-BBD0-5B48A9655061}" name="07/24/2026" dataDxfId="645"/>
    <tableColumn id="6" xr3:uid="{1B15D96D-A7AF-5F4C-BBD0-5B48A9655061}" name="07/31/2026" dataDxfId="645"/>
    <tableColumn id="7" xr3:uid="{1B15D96D-A7AF-5F4C-BBD0-5B48A9655061}" name="08/07/2026" dataDxfId="645"/>
    <tableColumn id="8" xr3:uid="{1B15D96D-A7AF-5F4C-BBD0-5B48A9655061}" name="08/14/2026" dataDxfId="645"/>
    <tableColumn id="9" xr3:uid="{1B15D96D-A7AF-5F4C-BBD0-5B48A9655061}" name="08/21/2026" dataDxfId="645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455B7F-0DBB-4E0C-9F2A-B7EE5592DCE9}" name="Table21113171921" displayName="Table21113171921" ref="A162:I173" totalsRowShown="0" headerRowDxfId="644" dataDxfId="643" tableBorderDxfId="642">
  <autoFilter ref="A162:I173" xr:uid="{0438CA60-DD76-4136-BC18-AD22F5B6EB0C}"/>
  <tableColumns count="9">
    <tableColumn id="1" xr3:uid="{3EC81F8F-57F6-FA4D-9D47-705C95644AAA}" name="Job Search Status" dataDxfId="604"/>
    <tableColumn id="2" xr3:uid="{3EC81F8F-57F6-FA4D-9D47-705C95644AAA}" name="06/26/2026" dataDxfId="604"/>
    <tableColumn id="3" xr3:uid="{3EC81F8F-57F6-FA4D-9D47-705C95644AAA}" name="07/10/2026" dataDxfId="604"/>
    <tableColumn id="4" xr3:uid="{3EC81F8F-57F6-FA4D-9D47-705C95644AAA}" name="07/17/2026" dataDxfId="604"/>
    <tableColumn id="5" xr3:uid="{3EC81F8F-57F6-FA4D-9D47-705C95644AAA}" name="07/24/2026" dataDxfId="604"/>
    <tableColumn id="6" xr3:uid="{3EC81F8F-57F6-FA4D-9D47-705C95644AAA}" name="07/31/2026" dataDxfId="604"/>
    <tableColumn id="7" xr3:uid="{3EC81F8F-57F6-FA4D-9D47-705C95644AAA}" name="08/07/2026" dataDxfId="604"/>
    <tableColumn id="8" xr3:uid="{3EC81F8F-57F6-FA4D-9D47-705C95644AAA}" name="08/14/2026" dataDxfId="604"/>
    <tableColumn id="9" xr3:uid="{3EC81F8F-57F6-FA4D-9D47-705C95644AAA}" name="08/21/2026" dataDxfId="604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27C563-1CF5-4109-BE50-9C2E715A154B}" name="Table1101216182022" displayName="Table1101216182022" ref="A176:I177" totalsRowShown="0" headerRowDxfId="603" dataDxfId="602" tableBorderDxfId="601">
  <autoFilter ref="A176:I177" xr:uid="{63CF7AF0-AB99-4A18-9A12-F743EE842F1E}"/>
  <tableColumns count="9">
    <tableColumn id="1" xr3:uid="{D04170D1-2EEB-694F-92A3-C5692231C524}" name="Placement" dataDxfId="563"/>
    <tableColumn id="2" xr3:uid="{D04170D1-2EEB-694F-92A3-C5692231C524}" name="06/26/2026" dataDxfId="563"/>
    <tableColumn id="3" xr3:uid="{D04170D1-2EEB-694F-92A3-C5692231C524}" name="07/10/2026" dataDxfId="563"/>
    <tableColumn id="4" xr3:uid="{D04170D1-2EEB-694F-92A3-C5692231C524}" name="07/17/2026" dataDxfId="563"/>
    <tableColumn id="5" xr3:uid="{D04170D1-2EEB-694F-92A3-C5692231C524}" name="07/24/2026" dataDxfId="563"/>
    <tableColumn id="6" xr3:uid="{D04170D1-2EEB-694F-92A3-C5692231C524}" name="07/31/2026" dataDxfId="563"/>
    <tableColumn id="7" xr3:uid="{D04170D1-2EEB-694F-92A3-C5692231C524}" name="08/07/2026" dataDxfId="563"/>
    <tableColumn id="8" xr3:uid="{D04170D1-2EEB-694F-92A3-C5692231C524}" name="08/14/2026" dataDxfId="563"/>
    <tableColumn id="9" xr3:uid="{D04170D1-2EEB-694F-92A3-C5692231C524}" name="08/21/2026" dataDxfId="563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B9ADF-DE50-47D1-A49E-14CF74DF63E6}" name="Table2111317192123" displayName="Table2111317192123" ref="A179:I190" totalsRowShown="0" headerRowDxfId="562" dataDxfId="561" tableBorderDxfId="560">
  <autoFilter ref="A179:I190" xr:uid="{0438CA60-DD76-4136-BC18-AD22F5B6EB0C}"/>
  <tableColumns count="9">
    <tableColumn id="1" xr3:uid="{2183615F-650A-3249-ABC4-A115EB03BA31}" name="Job Search Status" dataDxfId="522"/>
    <tableColumn id="2" xr3:uid="{2183615F-650A-3249-ABC4-A115EB03BA31}" name="06/26/2026" dataDxfId="522"/>
    <tableColumn id="3" xr3:uid="{2183615F-650A-3249-ABC4-A115EB03BA31}" name="07/10/2026" dataDxfId="522"/>
    <tableColumn id="4" xr3:uid="{2183615F-650A-3249-ABC4-A115EB03BA31}" name="07/17/2026" dataDxfId="522"/>
    <tableColumn id="5" xr3:uid="{2183615F-650A-3249-ABC4-A115EB03BA31}" name="07/24/2026" dataDxfId="522"/>
    <tableColumn id="6" xr3:uid="{2183615F-650A-3249-ABC4-A115EB03BA31}" name="07/31/2026" dataDxfId="522"/>
    <tableColumn id="7" xr3:uid="{2183615F-650A-3249-ABC4-A115EB03BA31}" name="08/07/2026" dataDxfId="522"/>
    <tableColumn id="8" xr3:uid="{2183615F-650A-3249-ABC4-A115EB03BA31}" name="08/14/2026" dataDxfId="522"/>
    <tableColumn id="9" xr3:uid="{2183615F-650A-3249-ABC4-A115EB03BA31}" name="08/21/2026" dataDxfId="522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79A98C-1483-437B-B159-8F7F42E07CC4}" name="Table110121618202224" displayName="Table110121618202224" ref="A193:I194" totalsRowShown="0" headerRowDxfId="521" dataDxfId="520" tableBorderDxfId="519">
  <autoFilter ref="A193:I194" xr:uid="{63CF7AF0-AB99-4A18-9A12-F743EE842F1E}"/>
  <tableColumns count="9">
    <tableColumn id="1" xr3:uid="{A73DB60B-CBFF-6942-AFD5-EDC91102A72F}" name="Placement" dataDxfId="481"/>
    <tableColumn id="2" xr3:uid="{A73DB60B-CBFF-6942-AFD5-EDC91102A72F}" name="06/26/2026" dataDxfId="481"/>
    <tableColumn id="3" xr3:uid="{A73DB60B-CBFF-6942-AFD5-EDC91102A72F}" name="07/10/2026" dataDxfId="481"/>
    <tableColumn id="4" xr3:uid="{A73DB60B-CBFF-6942-AFD5-EDC91102A72F}" name="07/17/2026" dataDxfId="481"/>
    <tableColumn id="5" xr3:uid="{A73DB60B-CBFF-6942-AFD5-EDC91102A72F}" name="07/24/2026" dataDxfId="481"/>
    <tableColumn id="6" xr3:uid="{A73DB60B-CBFF-6942-AFD5-EDC91102A72F}" name="07/31/2026" dataDxfId="481"/>
    <tableColumn id="7" xr3:uid="{A73DB60B-CBFF-6942-AFD5-EDC91102A72F}" name="08/07/2026" dataDxfId="481"/>
    <tableColumn id="8" xr3:uid="{A73DB60B-CBFF-6942-AFD5-EDC91102A72F}" name="08/14/2026" dataDxfId="481"/>
    <tableColumn id="9" xr3:uid="{A73DB60B-CBFF-6942-AFD5-EDC91102A72F}" name="08/21/2026" dataDxfId="481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941715-A2C6-428A-BD09-E8EF212294F3}" name="Table211131719212325" displayName="Table211131719212325" ref="A196:I207" totalsRowShown="0" headerRowDxfId="480" dataDxfId="479" tableBorderDxfId="478">
  <autoFilter ref="A196:I207" xr:uid="{0438CA60-DD76-4136-BC18-AD22F5B6EB0C}"/>
  <tableColumns count="9">
    <tableColumn id="1" xr3:uid="{28AACD7A-85D2-2342-8754-F5FF1D4196FF}" name="Job Search Status" dataDxfId="440"/>
    <tableColumn id="2" xr3:uid="{28AACD7A-85D2-2342-8754-F5FF1D4196FF}" name="06/26/2026" dataDxfId="440"/>
    <tableColumn id="3" xr3:uid="{28AACD7A-85D2-2342-8754-F5FF1D4196FF}" name="07/10/2026" dataDxfId="440"/>
    <tableColumn id="4" xr3:uid="{28AACD7A-85D2-2342-8754-F5FF1D4196FF}" name="07/17/2026" dataDxfId="440"/>
    <tableColumn id="5" xr3:uid="{28AACD7A-85D2-2342-8754-F5FF1D4196FF}" name="07/24/2026" dataDxfId="440"/>
    <tableColumn id="6" xr3:uid="{28AACD7A-85D2-2342-8754-F5FF1D4196FF}" name="07/31/2026" dataDxfId="440"/>
    <tableColumn id="7" xr3:uid="{28AACD7A-85D2-2342-8754-F5FF1D4196FF}" name="08/07/2026" dataDxfId="440"/>
    <tableColumn id="8" xr3:uid="{28AACD7A-85D2-2342-8754-F5FF1D4196FF}" name="08/14/2026" dataDxfId="440"/>
    <tableColumn id="9" xr3:uid="{28AACD7A-85D2-2342-8754-F5FF1D4196FF}" name="08/21/2026" dataDxfId="440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1FD071-0F95-4F59-A8B9-B0FB700B3267}" name="Table11012161820222426" displayName="Table11012161820222426" ref="A210:I211" totalsRowShown="0" headerRowDxfId="439" dataDxfId="438" tableBorderDxfId="437">
  <autoFilter ref="A210:I211" xr:uid="{63CF7AF0-AB99-4A18-9A12-F743EE842F1E}"/>
  <tableColumns count="9">
    <tableColumn id="1" xr3:uid="{38653FD1-0709-5942-9F92-10651118C375}" name="Placement" dataDxfId="399"/>
    <tableColumn id="2" xr3:uid="{38653FD1-0709-5942-9F92-10651118C375}" name="06/26/2026" dataDxfId="399"/>
    <tableColumn id="3" xr3:uid="{38653FD1-0709-5942-9F92-10651118C375}" name="07/10/2026" dataDxfId="399"/>
    <tableColumn id="4" xr3:uid="{38653FD1-0709-5942-9F92-10651118C375}" name="07/17/2026" dataDxfId="399"/>
    <tableColumn id="5" xr3:uid="{38653FD1-0709-5942-9F92-10651118C375}" name="07/24/2026" dataDxfId="399"/>
    <tableColumn id="6" xr3:uid="{38653FD1-0709-5942-9F92-10651118C375}" name="07/31/2026" dataDxfId="399"/>
    <tableColumn id="7" xr3:uid="{38653FD1-0709-5942-9F92-10651118C375}" name="08/07/2026" dataDxfId="399"/>
    <tableColumn id="8" xr3:uid="{38653FD1-0709-5942-9F92-10651118C375}" name="08/14/2026" dataDxfId="399"/>
    <tableColumn id="9" xr3:uid="{38653FD1-0709-5942-9F92-10651118C375}" name="08/21/2026" dataDxfId="399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3A90D6-55CD-49F5-82B7-35AA3850891F}" name="Table21113171921232527" displayName="Table21113171921232527" ref="A213:I224" totalsRowShown="0" headerRowDxfId="398" dataDxfId="397" tableBorderDxfId="396">
  <autoFilter ref="A213:I224" xr:uid="{0438CA60-DD76-4136-BC18-AD22F5B6EB0C}"/>
  <tableColumns count="9">
    <tableColumn id="1" xr3:uid="{F8DAF092-68E5-B742-B233-3E4A10A934EF}" name="Job Search Status" dataDxfId="358"/>
    <tableColumn id="2" xr3:uid="{F8DAF092-68E5-B742-B233-3E4A10A934EF}" name="06/26/2026" dataDxfId="358"/>
    <tableColumn id="3" xr3:uid="{F8DAF092-68E5-B742-B233-3E4A10A934EF}" name="07/10/2026" dataDxfId="358"/>
    <tableColumn id="4" xr3:uid="{F8DAF092-68E5-B742-B233-3E4A10A934EF}" name="07/17/2026" dataDxfId="358"/>
    <tableColumn id="5" xr3:uid="{F8DAF092-68E5-B742-B233-3E4A10A934EF}" name="07/24/2026" dataDxfId="358"/>
    <tableColumn id="6" xr3:uid="{F8DAF092-68E5-B742-B233-3E4A10A934EF}" name="07/31/2026" dataDxfId="358"/>
    <tableColumn id="7" xr3:uid="{F8DAF092-68E5-B742-B233-3E4A10A934EF}" name="08/07/2026" dataDxfId="358"/>
    <tableColumn id="8" xr3:uid="{F8DAF092-68E5-B742-B233-3E4A10A934EF}" name="08/14/2026" dataDxfId="358"/>
    <tableColumn id="9" xr3:uid="{F8DAF092-68E5-B742-B233-3E4A10A934EF}" name="08/21/2026" dataDxfId="358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AC7C33-7AA3-4275-B6D0-E2B832D9C6DD}" name="Table1101216182022242628" displayName="Table1101216182022242628" ref="A227:I228" totalsRowShown="0" headerRowDxfId="357" dataDxfId="356" tableBorderDxfId="355">
  <autoFilter ref="A227:I228" xr:uid="{63CF7AF0-AB99-4A18-9A12-F743EE842F1E}"/>
  <tableColumns count="9">
    <tableColumn id="1" xr3:uid="{D9983F5E-EBAD-0142-9BC8-D6B0B1F03FDE}" name="Placement" dataDxfId="317"/>
    <tableColumn id="2" xr3:uid="{D9983F5E-EBAD-0142-9BC8-D6B0B1F03FDE}" name="06/26/2026" dataDxfId="317"/>
    <tableColumn id="3" xr3:uid="{D9983F5E-EBAD-0142-9BC8-D6B0B1F03FDE}" name="07/10/2026" dataDxfId="317"/>
    <tableColumn id="4" xr3:uid="{D9983F5E-EBAD-0142-9BC8-D6B0B1F03FDE}" name="07/17/2026" dataDxfId="317"/>
    <tableColumn id="5" xr3:uid="{D9983F5E-EBAD-0142-9BC8-D6B0B1F03FDE}" name="07/24/2026" dataDxfId="317"/>
    <tableColumn id="6" xr3:uid="{D9983F5E-EBAD-0142-9BC8-D6B0B1F03FDE}" name="07/31/2026" dataDxfId="317"/>
    <tableColumn id="7" xr3:uid="{D9983F5E-EBAD-0142-9BC8-D6B0B1F03FDE}" name="08/07/2026" dataDxfId="317"/>
    <tableColumn id="8" xr3:uid="{D9983F5E-EBAD-0142-9BC8-D6B0B1F03FDE}" name="08/14/2026" dataDxfId="317"/>
    <tableColumn id="9" xr3:uid="{D9983F5E-EBAD-0142-9BC8-D6B0B1F03FDE}" name="08/21/2026" dataDxfId="317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FDCF249-AE17-4FFC-BD07-BA36BF0670AD}" name="Table2111317192123252729" displayName="Table2111317192123252729" ref="A230:I241" totalsRowShown="0" headerRowDxfId="316" dataDxfId="315" tableBorderDxfId="314">
  <autoFilter ref="A230:I241" xr:uid="{0438CA60-DD76-4136-BC18-AD22F5B6EB0C}"/>
  <tableColumns count="9">
    <tableColumn id="1" xr3:uid="{4187AB80-D31C-3445-8C39-EB7D421A975B}" name="Job Search Status" dataDxfId="276"/>
    <tableColumn id="2" xr3:uid="{4187AB80-D31C-3445-8C39-EB7D421A975B}" name="06/26/2026" dataDxfId="276"/>
    <tableColumn id="3" xr3:uid="{4187AB80-D31C-3445-8C39-EB7D421A975B}" name="07/10/2026" dataDxfId="276"/>
    <tableColumn id="4" xr3:uid="{4187AB80-D31C-3445-8C39-EB7D421A975B}" name="07/17/2026" dataDxfId="276"/>
    <tableColumn id="5" xr3:uid="{4187AB80-D31C-3445-8C39-EB7D421A975B}" name="07/24/2026" dataDxfId="276"/>
    <tableColumn id="6" xr3:uid="{4187AB80-D31C-3445-8C39-EB7D421A975B}" name="07/31/2026" dataDxfId="276"/>
    <tableColumn id="7" xr3:uid="{4187AB80-D31C-3445-8C39-EB7D421A975B}" name="08/07/2026" dataDxfId="276"/>
    <tableColumn id="8" xr3:uid="{4187AB80-D31C-3445-8C39-EB7D421A975B}" name="08/14/2026" dataDxfId="276"/>
    <tableColumn id="9" xr3:uid="{4187AB80-D31C-3445-8C39-EB7D421A975B}" name="08/21/2026" dataDxfId="276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ED8599-183D-48B3-B6D9-CF6723D936D2}" name="Table110121618202224262830" displayName="Table110121618202224262830" ref="A244:I245" totalsRowShown="0" headerRowDxfId="275" dataDxfId="274" tableBorderDxfId="273">
  <autoFilter ref="A244:I245" xr:uid="{63CF7AF0-AB99-4A18-9A12-F743EE842F1E}"/>
  <tableColumns count="9">
    <tableColumn id="1" xr3:uid="{7F642C3D-40D2-D741-9E2B-E1C6F71D74EF}" name="Placement" dataDxfId="235"/>
    <tableColumn id="2" xr3:uid="{7F642C3D-40D2-D741-9E2B-E1C6F71D74EF}" name="06/26/2026" dataDxfId="235"/>
    <tableColumn id="3" xr3:uid="{7F642C3D-40D2-D741-9E2B-E1C6F71D74EF}" name="07/10/2026" dataDxfId="235"/>
    <tableColumn id="4" xr3:uid="{7F642C3D-40D2-D741-9E2B-E1C6F71D74EF}" name="07/17/2026" dataDxfId="235"/>
    <tableColumn id="5" xr3:uid="{7F642C3D-40D2-D741-9E2B-E1C6F71D74EF}" name="07/24/2026" dataDxfId="235"/>
    <tableColumn id="6" xr3:uid="{7F642C3D-40D2-D741-9E2B-E1C6F71D74EF}" name="07/31/2026" dataDxfId="235"/>
    <tableColumn id="7" xr3:uid="{7F642C3D-40D2-D741-9E2B-E1C6F71D74EF}" name="08/07/2026" dataDxfId="235"/>
    <tableColumn id="8" xr3:uid="{7F642C3D-40D2-D741-9E2B-E1C6F71D74EF}" name="08/14/2026" dataDxfId="235"/>
    <tableColumn id="9" xr3:uid="{7F642C3D-40D2-D741-9E2B-E1C6F71D74EF}" name="08/21/2026" dataDxfId="235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4D07BF-6656-4B47-A314-9A02FD038F28}" name="Table211131719212325272931" displayName="Table211131719212325272931" ref="A247:I258" totalsRowShown="0" headerRowDxfId="234" dataDxfId="233" tableBorderDxfId="232">
  <autoFilter ref="A247:I258" xr:uid="{0438CA60-DD76-4136-BC18-AD22F5B6EB0C}"/>
  <tableColumns count="9">
    <tableColumn id="1" xr3:uid="{2EA44D5B-73E2-5243-AEC8-4773924222EE}" name="Job Search Status" dataDxfId="194"/>
    <tableColumn id="2" xr3:uid="{2EA44D5B-73E2-5243-AEC8-4773924222EE}" name="06/26/2026" dataDxfId="194"/>
    <tableColumn id="3" xr3:uid="{2EA44D5B-73E2-5243-AEC8-4773924222EE}" name="07/10/2026" dataDxfId="194"/>
    <tableColumn id="4" xr3:uid="{2EA44D5B-73E2-5243-AEC8-4773924222EE}" name="07/17/2026" dataDxfId="194"/>
    <tableColumn id="5" xr3:uid="{2EA44D5B-73E2-5243-AEC8-4773924222EE}" name="07/24/2026" dataDxfId="194"/>
    <tableColumn id="6" xr3:uid="{2EA44D5B-73E2-5243-AEC8-4773924222EE}" name="07/31/2026" dataDxfId="194"/>
    <tableColumn id="7" xr3:uid="{2EA44D5B-73E2-5243-AEC8-4773924222EE}" name="08/07/2026" dataDxfId="194"/>
    <tableColumn id="8" xr3:uid="{2EA44D5B-73E2-5243-AEC8-4773924222EE}" name="08/14/2026" dataDxfId="194"/>
    <tableColumn id="9" xr3:uid="{2EA44D5B-73E2-5243-AEC8-4773924222EE}" name="08/21/2026" dataDxfId="194"/>
  </tableColumns>
  <tableStyleInfo name="TableStyleLight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A64BE7-B428-4914-A866-5DBE01B92B88}" name="Table11012161820222426283032" displayName="Table11012161820222426283032" ref="A261:I262" totalsRowShown="0" headerRowDxfId="193" dataDxfId="192" tableBorderDxfId="191">
  <autoFilter ref="A261:I262" xr:uid="{63CF7AF0-AB99-4A18-9A12-F743EE842F1E}"/>
  <tableColumns count="9">
    <tableColumn id="1" xr3:uid="{C5663E2D-0F27-4647-938F-5238B628814F}" name="Placement" dataDxfId="153"/>
    <tableColumn id="2" xr3:uid="{C5663E2D-0F27-4647-938F-5238B628814F}" name="06/26/2026" dataDxfId="153"/>
    <tableColumn id="3" xr3:uid="{C5663E2D-0F27-4647-938F-5238B628814F}" name="07/10/2026" dataDxfId="153"/>
    <tableColumn id="4" xr3:uid="{C5663E2D-0F27-4647-938F-5238B628814F}" name="07/17/2026" dataDxfId="153"/>
    <tableColumn id="5" xr3:uid="{C5663E2D-0F27-4647-938F-5238B628814F}" name="07/24/2026" dataDxfId="153"/>
    <tableColumn id="6" xr3:uid="{C5663E2D-0F27-4647-938F-5238B628814F}" name="07/31/2026" dataDxfId="153"/>
    <tableColumn id="7" xr3:uid="{C5663E2D-0F27-4647-938F-5238B628814F}" name="08/07/2026" dataDxfId="153"/>
    <tableColumn id="8" xr3:uid="{C5663E2D-0F27-4647-938F-5238B628814F}" name="08/14/2026" dataDxfId="153"/>
    <tableColumn id="9" xr3:uid="{C5663E2D-0F27-4647-938F-5238B628814F}" name="08/21/2026" dataDxfId="153"/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68F6B5-2033-470C-9654-D984CA3D3BDC}" name="Table21113171921232527293133" displayName="Table21113171921232527293133" ref="A264:I275" totalsRowShown="0" headerRowDxfId="152" dataDxfId="151" tableBorderDxfId="150">
  <autoFilter ref="A264:I275" xr:uid="{0438CA60-DD76-4136-BC18-AD22F5B6EB0C}"/>
  <tableColumns count="9">
    <tableColumn id="1" xr3:uid="{1814C763-A5C5-8144-AF6E-730E4C916FE9}" name="Job Search Status" dataDxfId="112"/>
    <tableColumn id="2" xr3:uid="{1814C763-A5C5-8144-AF6E-730E4C916FE9}" name="06/26/2026" dataDxfId="112"/>
    <tableColumn id="3" xr3:uid="{1814C763-A5C5-8144-AF6E-730E4C916FE9}" name="07/10/2026" dataDxfId="112"/>
    <tableColumn id="4" xr3:uid="{1814C763-A5C5-8144-AF6E-730E4C916FE9}" name="07/17/2026" dataDxfId="112"/>
    <tableColumn id="5" xr3:uid="{1814C763-A5C5-8144-AF6E-730E4C916FE9}" name="07/24/2026" dataDxfId="112"/>
    <tableColumn id="6" xr3:uid="{1814C763-A5C5-8144-AF6E-730E4C916FE9}" name="07/31/2026" dataDxfId="112"/>
    <tableColumn id="7" xr3:uid="{1814C763-A5C5-8144-AF6E-730E4C916FE9}" name="08/07/2026" dataDxfId="112"/>
    <tableColumn id="8" xr3:uid="{1814C763-A5C5-8144-AF6E-730E4C916FE9}" name="08/14/2026" dataDxfId="112"/>
    <tableColumn id="9" xr3:uid="{1814C763-A5C5-8144-AF6E-730E4C916FE9}" name="08/21/2026" dataDxfId="112"/>
  </tableColumns>
  <tableStyleInfo name="TableStyleLight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881129-F583-42A7-8455-114F3F7C69C6}" name="Table3741" displayName="Table3741" ref="M24:S38" totalsRowShown="0" dataDxfId="111">
  <autoFilter ref="M24:S38" xr:uid="{94FEF257-0A90-4B66-A089-0FA47FC41378}"/>
  <tableColumns count="7">
    <tableColumn id="1" xr3:uid="{77749437-FF9E-41A2-A1DB-4AC6E3F7CF5C}" name="Month" dataDxfId="110"/>
    <tableColumn id="8" xr3:uid="{B0640A61-705E-46BF-9F5A-866DDC385A6C}" name="2027" dataDxfId="109" dataCellStyle="Percent"/>
    <tableColumn id="2" xr3:uid="{7D61946D-5CB6-49AF-B7FC-BA5CCC0DCFA6}" name="2026" dataDxfId="108"/>
    <tableColumn id="3" xr3:uid="{42E8E4E9-4832-405C-8CCA-9BA0D99CC7F5}" name="2025" dataDxfId="107"/>
    <tableColumn id="4" xr3:uid="{337D4855-03CE-4209-97AA-79296D64954A}" name="2024" dataDxfId="106"/>
    <tableColumn id="5" xr3:uid="{8BE17066-288F-424E-AB4D-DEBF80A97D34}" name="2023" dataDxfId="105"/>
    <tableColumn id="6" xr3:uid="{6E8D853E-9C94-4EBE-BE7D-EC6C42CA996E}" name="2022" dataDxfId="104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934FFDA-F499-4402-A085-68164628FE7A}" name="Table374142" displayName="Table374142" ref="M24:S38" totalsRowShown="0" dataDxfId="103">
  <autoFilter ref="M24:S38" xr:uid="{94FEF257-0A90-4B66-A089-0FA47FC41378}"/>
  <tableColumns count="7">
    <tableColumn id="1" xr3:uid="{18765407-D652-42B5-8123-F016D9FE3BFE}" name="Month" dataDxfId="102"/>
    <tableColumn id="8" xr3:uid="{4C0DDE93-8C0A-44EA-BEF5-029488789FD5}" name="2027" dataDxfId="101" dataCellStyle="Percent"/>
    <tableColumn id="2" xr3:uid="{3D3B0C79-7D0D-4BE1-AB3D-D91A8A2910CC}" name="2026" dataDxfId="100"/>
    <tableColumn id="3" xr3:uid="{08AC2BDD-8193-480A-ADC5-1C65E43DB308}" name="2025" dataDxfId="99"/>
    <tableColumn id="4" xr3:uid="{712F2260-57DA-4C50-8FDA-73DD99CF777D}" name="2024" dataDxfId="98"/>
    <tableColumn id="5" xr3:uid="{E276E7C5-5EF3-4521-A00D-7E1B59AA16DC}" name="2023" dataDxfId="97"/>
    <tableColumn id="6" xr3:uid="{656578E3-9C7B-461D-809D-2100DB1B1F03}" name="2022" dataDxfId="96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5C2AE5-DA67-4FF7-BACB-A46E02F7EC6D}" name="Table37414239" displayName="Table37414239" ref="M24:S38" totalsRowShown="0" dataDxfId="95">
  <autoFilter ref="M24:S38" xr:uid="{94FEF257-0A90-4B66-A089-0FA47FC41378}"/>
  <tableColumns count="7">
    <tableColumn id="1" xr3:uid="{43C5AA34-F090-4824-9F69-C22FF4B61876}" name="Month" dataDxfId="94"/>
    <tableColumn id="8" xr3:uid="{A16BDFD3-EEB3-4F87-A7D5-1CC034BAD035}" name="2027" dataDxfId="93" dataCellStyle="Percent"/>
    <tableColumn id="2" xr3:uid="{CBD8390A-2BCD-4533-B768-60BBF4C6A4C9}" name="2026" dataDxfId="92"/>
    <tableColumn id="3" xr3:uid="{0CF2045D-4CB8-4244-A530-A212A8D4EC29}" name="2025" dataDxfId="91"/>
    <tableColumn id="4" xr3:uid="{2CE96CE7-31B4-4482-A6DF-2780D7E02162}" name="2024" dataDxfId="90"/>
    <tableColumn id="5" xr3:uid="{9F459BC3-382F-46D3-9C27-6174A8C3C421}" name="2023" dataDxfId="89"/>
    <tableColumn id="6" xr3:uid="{CB09506A-D521-4047-AF26-5EDE8ADE4460}" name="2022" dataDxfId="88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9C4435E-51DC-4A4B-9CE7-3D83897C6532}" name="Table3741423940" displayName="Table3741423940" ref="M24:S38" totalsRowShown="0" dataDxfId="87">
  <autoFilter ref="M24:S38" xr:uid="{94FEF257-0A90-4B66-A089-0FA47FC41378}"/>
  <tableColumns count="7">
    <tableColumn id="1" xr3:uid="{08FAE45F-2FD4-4025-9210-51862AA112B0}" name="Month" dataDxfId="86"/>
    <tableColumn id="8" xr3:uid="{8E7CE0CC-E2D0-4CC0-8D28-E0B599610AF8}" name="2027" dataDxfId="85" dataCellStyle="Percent"/>
    <tableColumn id="2" xr3:uid="{6FC5017E-D6D8-4617-883B-07C7D0F02546}" name="2026" dataDxfId="84"/>
    <tableColumn id="3" xr3:uid="{BA2FC24A-FEEA-4E45-9236-72F4E8C22157}" name="2025" dataDxfId="83"/>
    <tableColumn id="4" xr3:uid="{12D5118F-7FD1-4A97-9C3F-58BB3AAE3892}" name="2024" dataDxfId="82"/>
    <tableColumn id="5" xr3:uid="{9C308F2B-B239-4061-AAC9-BD8356F6919A}" name="2023" dataDxfId="81"/>
    <tableColumn id="6" xr3:uid="{38F8F8E2-ABD0-4D59-9AF8-CD5CC6504BB1}" name="2022" dataDxfId="80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B0AB72-5614-4C75-87B9-5397F98634F0}" name="Table374142394043" displayName="Table374142394043" ref="M24:S38" totalsRowShown="0" dataDxfId="79">
  <autoFilter ref="M24:S38" xr:uid="{94FEF257-0A90-4B66-A089-0FA47FC41378}"/>
  <tableColumns count="7">
    <tableColumn id="1" xr3:uid="{DF787E09-18A9-42A0-A840-451BE659B4A9}" name="Month" dataDxfId="78"/>
    <tableColumn id="8" xr3:uid="{ED7608A7-48D0-4F31-B512-9F6E1A251709}" name="2027" dataDxfId="77" dataCellStyle="Percent"/>
    <tableColumn id="2" xr3:uid="{FD4D26E5-AB49-4871-AC4B-2D08AC37BCED}" name="2026" dataDxfId="76"/>
    <tableColumn id="3" xr3:uid="{B005C8FA-7031-40E6-BDDD-2CD6BCA0C82F}" name="2025" dataDxfId="75"/>
    <tableColumn id="4" xr3:uid="{3A8F6C66-7095-4310-B59C-BF0451AD9659}" name="2024" dataDxfId="74"/>
    <tableColumn id="5" xr3:uid="{8B1BE997-7029-4BD0-9869-0717CEABAABF}" name="2023" dataDxfId="73"/>
    <tableColumn id="6" xr3:uid="{F1C67C2F-5216-4D77-8C5E-CE141706F3EA}" name="2022" dataDxfId="7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1C63A9-95E9-4B50-B9A9-485F8E68C64B}" name="Table37414239404344" displayName="Table37414239404344" ref="M24:S38" totalsRowShown="0" dataDxfId="71">
  <autoFilter ref="M24:S38" xr:uid="{94FEF257-0A90-4B66-A089-0FA47FC41378}"/>
  <tableColumns count="7">
    <tableColumn id="1" xr3:uid="{A4073579-FC94-498E-A567-1B7755CA4D37}" name="Month" dataDxfId="70"/>
    <tableColumn id="8" xr3:uid="{A0013229-74ED-4D72-8D17-BDBE49D55FEE}" name="2027" dataDxfId="69" dataCellStyle="Percent"/>
    <tableColumn id="2" xr3:uid="{3B92D824-332B-4D88-B1D2-0624D2697F77}" name="2026" dataDxfId="68"/>
    <tableColumn id="3" xr3:uid="{44C5B49D-8239-4012-BFB7-8C45A936807C}" name="2025" dataDxfId="67"/>
    <tableColumn id="4" xr3:uid="{3E1E5369-4E65-4A19-AEB0-4C45A2A612B3}" name="2024" dataDxfId="66"/>
    <tableColumn id="5" xr3:uid="{49C94B24-7EBD-4D70-9761-8A72AA6E7B85}" name="2023" dataDxfId="65"/>
    <tableColumn id="6" xr3:uid="{5AD7E2E8-D4D6-4E27-A464-2A74B25D99EB}" name="2022" dataDxfId="64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6CC1428-241F-4DA3-A263-F02013EE2A1F}" name="Table3741423940434445" displayName="Table3741423940434445" ref="M24:S38" totalsRowShown="0" dataDxfId="63">
  <autoFilter ref="M24:S38" xr:uid="{94FEF257-0A90-4B66-A089-0FA47FC41378}"/>
  <tableColumns count="7">
    <tableColumn id="1" xr3:uid="{04D9233E-E1F6-41EE-9D10-697816CCE7A8}" name="Month" dataDxfId="62"/>
    <tableColumn id="8" xr3:uid="{EAC7E686-99DB-4A08-A1DD-FB348250C32A}" name="2027" dataDxfId="61" dataCellStyle="Percent"/>
    <tableColumn id="2" xr3:uid="{9AC1567D-B412-41B6-8EEB-2D362F7EC3C9}" name="2026" dataDxfId="60"/>
    <tableColumn id="3" xr3:uid="{F16C0C7D-3788-4859-AE4F-97E4DFDBB880}" name="2025" dataDxfId="59"/>
    <tableColumn id="4" xr3:uid="{5F98AFDC-D6F3-4ED1-9FEA-45EF719EBFFA}" name="2024" dataDxfId="58"/>
    <tableColumn id="5" xr3:uid="{B809E37B-A226-40CD-B4A8-5F28467C6E5E}" name="2023" dataDxfId="57"/>
    <tableColumn id="6" xr3:uid="{471C9EAE-7069-43AF-BCCF-4CE4B60DD3F3}" name="2022" dataDxfId="56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BE8C1E6-1568-43BE-B110-E5A6B3E4DB0E}" name="Table374142394043444546" displayName="Table374142394043444546" ref="M24:S38" totalsRowShown="0" dataDxfId="55">
  <autoFilter ref="M24:S38" xr:uid="{94FEF257-0A90-4B66-A089-0FA47FC41378}"/>
  <tableColumns count="7">
    <tableColumn id="1" xr3:uid="{3C15D81E-034A-4B07-B150-5476C8CA7FDF}" name="Month" dataDxfId="54"/>
    <tableColumn id="8" xr3:uid="{CB3E9297-46D3-4FF3-AD7E-87114F449346}" name="2027" dataDxfId="53" dataCellStyle="Percent"/>
    <tableColumn id="2" xr3:uid="{7672292E-33A8-4D43-B5C4-AD9BA85AB2C1}" name="2026" dataDxfId="52"/>
    <tableColumn id="3" xr3:uid="{84307FA8-9C74-4B25-86B7-EC79FCAF5AF5}" name="2025" dataDxfId="51"/>
    <tableColumn id="4" xr3:uid="{FAC5CCDC-B318-4723-90D7-09758A98AEE2}" name="2024" dataDxfId="50"/>
    <tableColumn id="5" xr3:uid="{A55B0059-DC37-4F79-B64D-6E37E7F9BD99}" name="2023" dataDxfId="49"/>
    <tableColumn id="6" xr3:uid="{B688EA76-9A93-461B-8F17-36EBA16A40FF}" name="2022" dataDxfId="48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3883F3B-A55E-415D-B4AF-6B9065CBB97B}" name="Table37414239404344454647" displayName="Table37414239404344454647" ref="M24:S38" totalsRowShown="0" dataDxfId="47">
  <autoFilter ref="M24:S38" xr:uid="{94FEF257-0A90-4B66-A089-0FA47FC41378}"/>
  <tableColumns count="7">
    <tableColumn id="1" xr3:uid="{BC164DC9-D8E5-4B95-B4BF-BB8885E62892}" name="Month" dataDxfId="46"/>
    <tableColumn id="8" xr3:uid="{4812F24B-3699-419D-9404-6246D2EF31F0}" name="2027" dataDxfId="45" dataCellStyle="Percent"/>
    <tableColumn id="2" xr3:uid="{C80AC172-09E5-4A81-9A82-20E71D2E4AAF}" name="2026" dataDxfId="44"/>
    <tableColumn id="3" xr3:uid="{80BA87D2-D6FC-477B-90C6-3F8659BA99A5}" name="2025" dataDxfId="43"/>
    <tableColumn id="4" xr3:uid="{920CD23A-C94B-4A5A-8EDA-BF2EFF155407}" name="2024" dataDxfId="42"/>
    <tableColumn id="5" xr3:uid="{9635E22E-CC89-437D-87C7-0D0A9E86F679}" name="2023" dataDxfId="41"/>
    <tableColumn id="6" xr3:uid="{5D77EC00-FAD6-4FE5-A45F-88CC87716863}" name="2022" dataDxfId="40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46A7BCF-B514-413F-99D6-3864F2BFCC3E}" name="Table3741423940434445464748" displayName="Table3741423940434445464748" ref="M24:S38" totalsRowShown="0" dataDxfId="39">
  <autoFilter ref="M24:S38" xr:uid="{94FEF257-0A90-4B66-A089-0FA47FC41378}"/>
  <tableColumns count="7">
    <tableColumn id="1" xr3:uid="{B202FAAD-9FFB-4CC5-9C66-E534408BD13D}" name="Month" dataDxfId="38"/>
    <tableColumn id="8" xr3:uid="{95DFB3BF-2A0A-4BBC-BFD2-C50D8C5FCB65}" name="2027" dataDxfId="37" dataCellStyle="Percent"/>
    <tableColumn id="2" xr3:uid="{EF080AF2-194E-4EA5-9FFA-A69F1A05EECC}" name="2026" dataDxfId="36"/>
    <tableColumn id="3" xr3:uid="{1A002F03-B742-4F4A-9E8F-817565D1C298}" name="2025" dataDxfId="35"/>
    <tableColumn id="4" xr3:uid="{AACFD401-F787-4B25-B98F-76DFDDD91EAC}" name="2024" dataDxfId="34"/>
    <tableColumn id="5" xr3:uid="{65207629-2F76-4464-8CA2-BFAAD8DDF4E8}" name="2023" dataDxfId="33"/>
    <tableColumn id="6" xr3:uid="{B222A1B7-F9EA-4F3B-BB10-746058E9E7E5}" name="2022" dataDxfId="32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C5E0148-E169-4E42-A9E2-C3142DE5FF44}" name="Table374142394043444546474849" displayName="Table374142394043444546474849" ref="M24:S38" totalsRowShown="0" dataDxfId="31">
  <autoFilter ref="M24:S38" xr:uid="{94FEF257-0A90-4B66-A089-0FA47FC41378}"/>
  <tableColumns count="7">
    <tableColumn id="1" xr3:uid="{5A906D74-9996-4E09-9543-EABB7D823E8E}" name="Month" dataDxfId="30"/>
    <tableColumn id="8" xr3:uid="{53D7ECB5-DEE3-493B-BAA0-DD3E4B2E6E8A}" name="2027" dataDxfId="29" dataCellStyle="Percent"/>
    <tableColumn id="2" xr3:uid="{9265D2A5-2D5B-428D-BA2A-13EA194FC9E8}" name="2026" dataDxfId="28"/>
    <tableColumn id="3" xr3:uid="{F00FE42C-EC21-408D-A6FB-14F54B88D405}" name="2025" dataDxfId="27"/>
    <tableColumn id="4" xr3:uid="{5A357285-4D80-4711-8519-DDE0FB99FCA8}" name="2024" dataDxfId="26"/>
    <tableColumn id="5" xr3:uid="{9409F06A-3B95-4F95-BB0D-971366D83F1B}" name="2023" dataDxfId="25"/>
    <tableColumn id="6" xr3:uid="{EAD566B4-5AFD-43AA-87A3-F5DADFDFD0A9}" name="2022" dataDxfId="24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64B1B7-2AE0-4E2F-A7D0-702CFF5F7730}" name="Table37414239404344454647484950" displayName="Table37414239404344454647484950" ref="M24:S38" totalsRowShown="0" dataDxfId="23">
  <autoFilter ref="M24:S38" xr:uid="{94FEF257-0A90-4B66-A089-0FA47FC41378}"/>
  <tableColumns count="7">
    <tableColumn id="1" xr3:uid="{CFD08F57-1523-422D-B7F7-07E12A2B615C}" name="Month" dataDxfId="22"/>
    <tableColumn id="8" xr3:uid="{6AE266E3-9FF3-4769-90AC-CF801ABF1D87}" name="2027" dataDxfId="21" dataCellStyle="Percent"/>
    <tableColumn id="2" xr3:uid="{DFCCBA36-4D65-4DA4-9969-712F8369F24D}" name="2026" dataDxfId="20"/>
    <tableColumn id="3" xr3:uid="{2B386EFA-6150-4478-8B2C-749873E1958B}" name="2025" dataDxfId="19"/>
    <tableColumn id="4" xr3:uid="{D5F7643D-1BFB-4F27-AB42-C8FE2537D23F}" name="2024" dataDxfId="18"/>
    <tableColumn id="5" xr3:uid="{0EC676D4-A7A4-42F7-90BA-36F0A02CAD86}" name="2023" dataDxfId="17"/>
    <tableColumn id="6" xr3:uid="{07C88275-0284-41DF-8146-AF645D5094E5}" name="2022" dataDxfId="16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5AD079-2FA9-4366-8DEE-736995417E51}" name="Table3741423940434445464748495051" displayName="Table3741423940434445464748495051" ref="M24:S38" totalsRowShown="0" dataDxfId="15">
  <autoFilter ref="M24:S38" xr:uid="{94FEF257-0A90-4B66-A089-0FA47FC41378}"/>
  <tableColumns count="7">
    <tableColumn id="1" xr3:uid="{F5ADBFDE-5B36-4C7F-A105-F5C6A5B45011}" name="Month" dataDxfId="14"/>
    <tableColumn id="8" xr3:uid="{F9F57FEA-18B1-4BBF-B955-4F0173676688}" name="2027" dataDxfId="13" dataCellStyle="Percent"/>
    <tableColumn id="2" xr3:uid="{D8A31755-6C24-466B-A92D-D8B4AA6558E9}" name="2026" dataDxfId="12"/>
    <tableColumn id="3" xr3:uid="{433BABAA-E4BA-41E5-AF55-0CFA1B092306}" name="2025" dataDxfId="11"/>
    <tableColumn id="4" xr3:uid="{129B3BFF-A851-4847-BC75-A478FCE2F0A3}" name="2024" dataDxfId="10"/>
    <tableColumn id="5" xr3:uid="{3CC08306-099C-4C7E-8AE2-31179B83B2E8}" name="2023" dataDxfId="9"/>
    <tableColumn id="6" xr3:uid="{630B6BA7-8CCA-47C0-8944-13768E982791}" name="2022" dataDxfId="8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F02F8B3-9A6F-4D8F-82DD-E1986E0DDB83}" name="Table374142394043444546474849505152" displayName="Table374142394043444546474849505152" ref="M24:S38" totalsRowShown="0" dataDxfId="7">
  <autoFilter ref="M24:S38" xr:uid="{94FEF257-0A90-4B66-A089-0FA47FC41378}"/>
  <tableColumns count="7">
    <tableColumn id="1" xr3:uid="{C73C10C9-E20F-4A6D-977F-FEBAB0106867}" name="Month" dataDxfId="6"/>
    <tableColumn id="8" xr3:uid="{C34C39A7-88FD-46E6-A739-646961F8F587}" name="2027" dataDxfId="5" dataCellStyle="Percent"/>
    <tableColumn id="2" xr3:uid="{3AA7F977-AA87-4B90-9047-7AEA2539F61A}" name="2026" dataDxfId="4"/>
    <tableColumn id="3" xr3:uid="{1C9D1955-3FF4-4E17-AAAE-8B549D83B618}" name="2025" dataDxfId="3"/>
    <tableColumn id="4" xr3:uid="{8FBBC7F8-B786-4372-AF76-99F895FD4071}" name="2024" dataDxfId="2"/>
    <tableColumn id="5" xr3:uid="{F021E7FE-A0F5-4355-B5D8-BFF5663E1375}" name="2023" dataDxfId="1"/>
    <tableColumn id="6" xr3:uid="{98FF5B0C-2B14-44B3-9643-5BF661E4A76C}" name="20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'1.0' encoding='UTF-8' standalone='yes'?>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_rels/sheet3.xml.rels><?xml version='1.0' encoding='UTF-8' standalone='yes'?>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3.xml"/></Relationships>
</file>

<file path=xl/worksheets/_rels/sheet5.xml.rels><?xml version='1.0' encoding='UTF-8' standalone='yes'?>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.xml"/></Relationships>
</file>

<file path=xl/worksheets/_rels/sheet6.xml.rels><?xml version='1.0' encoding='UTF-8' standalone='yes'?>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5.xml"/></Relationships>
</file>

<file path=xl/worksheets/_rels/sheet7.xml.rels><?xml version='1.0' encoding='UTF-8' standalone='yes'?>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6.xml"/></Relationships>
</file>

<file path=xl/worksheets/_rels/sheet8.xml.rels><?xml version='1.0' encoding='UTF-8' standalone='yes'?>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7.xml"/></Relationships>
</file>

<file path=xl/worksheets/_rels/sheet9.xml.rels><?xml version='1.0' encoding='UTF-8' standalone='yes'?>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8.xml"/></Relationships>
</file>

<file path=xl/worksheets/_rels/sheet10.xml.rels><?xml version='1.0' encoding='UTF-8' standalone='yes'?>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9.xml"/></Relationships>
</file>

<file path=xl/worksheets/_rels/sheet11.xml.rels><?xml version='1.0' encoding='UTF-8' standalone='yes'?>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10.xml"/></Relationships>
</file>

<file path=xl/worksheets/_rels/sheet12.xml.rels><?xml version='1.0' encoding='UTF-8' standalone='yes'?>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1.xml"/></Relationships>
</file>

<file path=xl/worksheets/_rels/sheet13.xml.rels><?xml version='1.0' encoding='UTF-8' standalone='yes'?>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2.xml"/></Relationships>
</file>

<file path=xl/worksheets/_rels/sheet14.xml.rels><?xml version='1.0' encoding='UTF-8' standalone='yes'?>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3.xml"/></Relationships>
</file>

<file path=xl/worksheets/_rels/sheet15.xml.rels><?xml version='1.0' encoding='UTF-8' standalone='yes'?>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14.xml"/></Relationships>
</file>

<file path=xl/worksheets/_rels/sheet16.xml.rels><?xml version='1.0' encoding='UTF-8' standalone='yes'?>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BC7-9BBA-42E4-BF0A-78D20F67797C}">
  <dimension ref="B1:S38"/>
  <sheetViews>
    <sheetView showGridLines="0" topLeftCell="A6" zoomScaleNormal="100" workbookViewId="0">
      <selection activeCell="U19" sqref="U19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MSB (All Programs) Class of 2027 Placement</t>
        </is>
      </c>
      <c r="J1" s="30"/>
    </row>
    <row r="21" spans="2:19" ht="27" x14ac:dyDescent="0.35">
      <c r="B21" s="55" t="s">
        <v>154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0.1069</v>
      </c>
      <c r="O25" s="40">
        <v>0.11078546307151231</v>
      </c>
      <c r="P25" s="41">
        <v>0.1017</v>
      </c>
      <c r="Q25" s="42">
        <v>0.12</v>
      </c>
      <c r="R25" s="43">
        <v>0.086</v>
      </c>
      <c r="S25" s="69">
        <v>0.1171</v>
      </c>
    </row>
    <row r="26" spans="2:19" ht="19.5" customHeight="1" x14ac:dyDescent="0.2">
      <c r="M26" s="70" t="s">
        <v>164</v>
      </c>
      <c r="N26" s="44"/>
      <c r="O26" s="45">
        <v>0.15123094958968347</v>
      </c>
      <c r="P26" s="46">
        <v>0.1415</v>
      </c>
      <c r="Q26" s="47">
        <v>0.1909</v>
      </c>
      <c r="R26" s="48">
        <v>0.1196</v>
      </c>
      <c r="S26" s="71">
        <v>0.2165</v>
      </c>
    </row>
    <row r="27" spans="2:19" ht="19.5" customHeight="1" x14ac:dyDescent="0.2">
      <c r="M27" s="70" t="s">
        <v>165</v>
      </c>
      <c r="N27" s="44"/>
      <c r="O27" s="49">
        <v>0.2441</v>
      </c>
      <c r="P27" s="50">
        <v>0.2136</v>
      </c>
      <c r="Q27" s="51">
        <v>0.28</v>
      </c>
      <c r="R27" s="52">
        <v>0.215</v>
      </c>
      <c r="S27" s="72">
        <v>0.2955</v>
      </c>
    </row>
    <row r="28" spans="2:19" ht="19.5" customHeight="1" x14ac:dyDescent="0.2">
      <c r="M28" s="70" t="s">
        <v>166</v>
      </c>
      <c r="N28" s="44"/>
      <c r="O28" s="45">
        <v>0.2912</v>
      </c>
      <c r="P28" s="46">
        <v>0.2873</v>
      </c>
      <c r="Q28" s="47">
        <v>0.3273</v>
      </c>
      <c r="R28" s="48">
        <v>0.328</v>
      </c>
      <c r="S28" s="71">
        <v>0.369</v>
      </c>
    </row>
    <row r="29" spans="2:19" ht="19.5" customHeight="1" x14ac:dyDescent="0.2">
      <c r="M29" s="70" t="s">
        <v>167</v>
      </c>
      <c r="N29" s="44"/>
      <c r="O29" s="49">
        <v>0.343</v>
      </c>
      <c r="P29" s="50">
        <v>0.3169</v>
      </c>
      <c r="Q29" s="51">
        <v>0.3882</v>
      </c>
      <c r="R29" s="52">
        <v>0.3598</v>
      </c>
      <c r="S29" s="72">
        <v>0.408</v>
      </c>
    </row>
    <row r="30" spans="2:19" ht="19.5" customHeight="1" x14ac:dyDescent="0.2">
      <c r="M30" s="70" t="s">
        <v>168</v>
      </c>
      <c r="N30" s="44"/>
      <c r="O30" s="45">
        <v>0.4462</v>
      </c>
      <c r="P30" s="46">
        <v>0.4466</v>
      </c>
      <c r="Q30" s="47">
        <v>0.4836</v>
      </c>
      <c r="R30" s="48">
        <v>0.4084</v>
      </c>
      <c r="S30" s="71">
        <v>0.4572</v>
      </c>
    </row>
    <row r="31" spans="2:19" ht="19.5" customHeight="1" x14ac:dyDescent="0.2">
      <c r="M31" s="70" t="s">
        <v>169</v>
      </c>
      <c r="N31" s="44"/>
      <c r="O31" s="49">
        <v>0.5058</v>
      </c>
      <c r="P31" s="50">
        <v>0.5246</v>
      </c>
      <c r="Q31" s="51">
        <v>0.5636</v>
      </c>
      <c r="R31" s="52">
        <v>0.4682</v>
      </c>
      <c r="S31" s="72">
        <v>0.5743</v>
      </c>
    </row>
    <row r="32" spans="2:19" ht="19.5" customHeight="1" x14ac:dyDescent="0.2">
      <c r="M32" s="70" t="s">
        <v>170</v>
      </c>
      <c r="N32" s="44"/>
      <c r="O32" s="45">
        <v>0.5941</v>
      </c>
      <c r="P32" s="46">
        <v>0.6178</v>
      </c>
      <c r="Q32" s="47">
        <v>0.6418</v>
      </c>
      <c r="R32" s="48">
        <v>0.6093</v>
      </c>
      <c r="S32" s="71">
        <v>0.697</v>
      </c>
    </row>
    <row r="33" spans="13:19" ht="19.5" customHeight="1" x14ac:dyDescent="0.2">
      <c r="M33" s="70" t="s">
        <v>171</v>
      </c>
      <c r="N33" s="44"/>
      <c r="O33" s="49">
        <v>0.7162999999999999</v>
      </c>
      <c r="P33" s="50">
        <v>0.7059</v>
      </c>
      <c r="Q33" s="51">
        <v>0.7227</v>
      </c>
      <c r="R33" s="52">
        <v>0.6841</v>
      </c>
      <c r="S33" s="72">
        <v>0.7742</v>
      </c>
    </row>
    <row r="34" spans="13:19" ht="19.5" customHeight="1" x14ac:dyDescent="0.2">
      <c r="M34" s="70" t="s">
        <v>172</v>
      </c>
      <c r="N34" s="44"/>
      <c r="O34" s="45">
        <v>0.7974</v>
      </c>
      <c r="P34" s="46">
        <v>0.7729</v>
      </c>
      <c r="Q34" s="47">
        <v>0.7718</v>
      </c>
      <c r="R34" s="48">
        <v>0.8</v>
      </c>
      <c r="S34" s="71">
        <v>0.8243</v>
      </c>
    </row>
    <row r="35" spans="13:19" ht="19.5" customHeight="1" x14ac:dyDescent="0.2">
      <c r="M35" s="70" t="s">
        <v>173</v>
      </c>
      <c r="N35" s="44"/>
      <c r="O35" s="49">
        <v>0.8704999999999999</v>
      </c>
      <c r="P35" s="50">
        <v>0.8229</v>
      </c>
      <c r="Q35" s="51">
        <v>0.8209</v>
      </c>
      <c r="R35" s="52">
        <v>0.8561</v>
      </c>
      <c r="S35" s="72">
        <v>0.8727</v>
      </c>
    </row>
    <row r="36" spans="13:19" ht="19.5" customHeight="1" x14ac:dyDescent="0.2">
      <c r="M36" s="70" t="s">
        <v>174</v>
      </c>
      <c r="N36" s="44"/>
      <c r="O36" s="45">
        <v>0.9411</v>
      </c>
      <c r="P36" s="46">
        <v>0.8958</v>
      </c>
      <c r="Q36" s="47">
        <v>0.9309</v>
      </c>
      <c r="R36" s="48">
        <v>0.9206</v>
      </c>
      <c r="S36" s="71">
        <v>0.9656</v>
      </c>
    </row>
    <row r="37" spans="13:19" ht="19.5" customHeight="1" x14ac:dyDescent="0.2">
      <c r="M37" s="70" t="s">
        <v>175</v>
      </c>
      <c r="N37" s="44"/>
      <c r="O37" s="49">
        <v>0.9525</v>
      </c>
      <c r="P37" s="50">
        <v>0.9314</v>
      </c>
      <c r="Q37" s="51">
        <v>0.9418</v>
      </c>
      <c r="R37" s="52">
        <v>0.9318</v>
      </c>
      <c r="S37" s="72">
        <v>0.9703</v>
      </c>
    </row>
    <row r="38" spans="13:19" ht="19.5" customHeight="1" x14ac:dyDescent="0.2">
      <c r="M38" s="70" t="s">
        <v>176</v>
      </c>
      <c r="N38" s="44"/>
      <c r="O38" s="45"/>
      <c r="P38" s="46">
        <v>0.9559</v>
      </c>
      <c r="Q38" s="47">
        <v>0.9436</v>
      </c>
      <c r="R38" s="48">
        <v>0.9411</v>
      </c>
      <c r="S38" s="71">
        <v>0.974</v>
      </c>
    </row>
  </sheetData>
  <phoneticPr fontId="5" type="noConversion"/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DE59-1F20-41EA-B484-FA1B4138C3E3}">
  <dimension ref="A1:I275"/>
  <sheetViews>
    <sheetView tabSelected="1" topLeftCell="A50" workbookViewId="0">
      <pane xSplit="1" topLeftCell="Z1" activePane="topRight" state="frozen"/>
      <selection activeCell="A13" sqref="A13"/>
      <selection pane="topRight" activeCell="AL49" sqref="AL49"/>
    </sheetView>
  </sheetViews>
  <sheetFormatPr baseColWidth="10" defaultColWidth="8.83203125" defaultRowHeight="15" x14ac:dyDescent="0.2"/>
  <cols>
    <col min="1" max="1" width="18.5" customWidth="1"/>
    <col min="18" max="18" width="10.6640625" customWidth="1"/>
    <col min="19" max="19" width="9.1640625" customWidth="1"/>
    <col min="23" max="23" width="15.6640625" bestFit="1" customWidth="1"/>
    <col min="24" max="25" width="12" bestFit="1" customWidth="1"/>
    <col min="26" max="26" width="19.1640625" bestFit="1" customWidth="1"/>
    <col min="27" max="27" width="15.5" bestFit="1" customWidth="1"/>
    <col min="28" max="29" width="10.1640625" bestFit="1" customWidth="1"/>
    <col min="30" max="30" width="17" customWidth="1"/>
    <col min="31" max="31" width="11.33203125" bestFit="1" customWidth="1"/>
    <col min="32" max="32" width="12.33203125" bestFit="1" customWidth="1"/>
    <col min="33" max="33" width="13.33203125" customWidth="1"/>
    <col min="34" max="34" width="15" customWidth="1"/>
    <col min="35" max="35" width="19.1640625" customWidth="1"/>
    <col min="36" max="36" width="15.6640625" customWidth="1"/>
    <col min="37" max="37" width="15.5" customWidth="1"/>
    <col min="38" max="38" width="13.33203125" bestFit="1" customWidth="1"/>
  </cols>
  <sheetData>
    <row r="1" spans="1:29" ht="22" x14ac:dyDescent="0.3">
      <c r="A1" s="54" t="s">
        <v>0</v>
      </c>
    </row>
    <row r="2" spans="1:29" ht="19" x14ac:dyDescent="0.25">
      <c r="A2" s="28" t="s">
        <v>1</v>
      </c>
      <c r="B2" s="29"/>
      <c r="C2" s="29"/>
      <c r="D2" s="29"/>
      <c r="F2" s="28" t="s">
        <v>2</v>
      </c>
      <c r="G2" s="29"/>
      <c r="H2" s="29"/>
      <c r="I2" s="29"/>
      <c r="J2" s="29"/>
      <c r="K2" s="28" t="s">
        <v>3</v>
      </c>
      <c r="L2" s="29"/>
      <c r="M2" s="29"/>
      <c r="N2" s="29"/>
      <c r="O2" s="29"/>
      <c r="P2" s="28" t="s">
        <v>4</v>
      </c>
      <c r="Q2" s="29"/>
      <c r="R2" s="29"/>
      <c r="S2" s="29"/>
      <c r="T2" s="29"/>
      <c r="U2" s="28" t="s">
        <v>5</v>
      </c>
      <c r="V2" s="29"/>
      <c r="W2" s="29"/>
      <c r="X2" s="29"/>
      <c r="Y2" s="29"/>
      <c r="Z2" s="28" t="s">
        <v>6</v>
      </c>
      <c r="AA2" s="29"/>
      <c r="AB2" s="29"/>
      <c r="AC2" s="29"/>
    </row>
    <row r="3" spans="1:29" x14ac:dyDescent="0.2">
      <c r="A3" s="37" t="s">
        <v>7</v>
      </c>
      <c r="B3" s="37" t="s">
        <v>8</v>
      </c>
      <c r="C3" s="37" t="s">
        <v>9</v>
      </c>
      <c r="D3" s="38" t="s">
        <v>10</v>
      </c>
      <c r="F3" s="37" t="s">
        <v>11</v>
      </c>
      <c r="G3" s="37" t="s">
        <v>8</v>
      </c>
      <c r="H3" s="37" t="s">
        <v>9</v>
      </c>
      <c r="I3" s="38" t="s">
        <v>10</v>
      </c>
      <c r="J3" s="29"/>
      <c r="K3" s="37" t="s">
        <v>11</v>
      </c>
      <c r="L3" s="37" t="s">
        <v>8</v>
      </c>
      <c r="M3" s="37" t="s">
        <v>9</v>
      </c>
      <c r="N3" s="37" t="s">
        <v>10</v>
      </c>
      <c r="O3" s="29"/>
      <c r="P3" s="37" t="s">
        <v>11</v>
      </c>
      <c r="Q3" s="37" t="s">
        <v>8</v>
      </c>
      <c r="R3" s="37" t="s">
        <v>9</v>
      </c>
      <c r="S3" s="37" t="s">
        <v>10</v>
      </c>
      <c r="T3" s="29"/>
      <c r="U3" s="37" t="s">
        <v>7</v>
      </c>
      <c r="V3" s="37" t="s">
        <v>12</v>
      </c>
      <c r="W3" s="37" t="s">
        <v>9</v>
      </c>
      <c r="X3" s="37" t="s">
        <v>10</v>
      </c>
      <c r="Y3" s="29"/>
      <c r="Z3" s="37" t="s">
        <v>7</v>
      </c>
      <c r="AA3" s="37" t="s">
        <v>12</v>
      </c>
      <c r="AB3" s="37" t="s">
        <v>9</v>
      </c>
      <c r="AC3" s="37" t="s">
        <v>10</v>
      </c>
    </row>
    <row r="4" spans="1:29" x14ac:dyDescent="0.2">
      <c r="A4" t="s">
        <v>13</v>
      </c>
      <c r="B4">
        <v>189</v>
      </c>
      <c r="C4" s="34">
        <f>Table1337[[#This Row],[Accepted Offers]]</f>
        <v>189</v>
      </c>
      <c r="D4" s="35">
        <f>Table1337[[#This Row],[Running Total]]/B20</f>
        <v>0.11078546307151231</v>
      </c>
      <c r="F4" s="29" t="s">
        <v>14</v>
      </c>
      <c r="G4" s="34">
        <v>120</v>
      </c>
      <c r="H4" s="34">
        <v>120</v>
      </c>
      <c r="I4" s="35">
        <v>0.1017</v>
      </c>
      <c r="J4" s="29"/>
      <c r="K4" s="29" t="s">
        <v>15</v>
      </c>
      <c r="L4" s="34">
        <v>132</v>
      </c>
      <c r="M4" s="34">
        <v>132</v>
      </c>
      <c r="N4" s="35">
        <v>0.12</v>
      </c>
      <c r="O4" s="29"/>
      <c r="P4" s="29" t="s">
        <v>16</v>
      </c>
      <c r="Q4" s="34">
        <v>92</v>
      </c>
      <c r="R4" s="34">
        <v>92</v>
      </c>
      <c r="S4" s="35">
        <v>8.5999999999999993E-2</v>
      </c>
      <c r="T4" s="29"/>
      <c r="U4" s="29" t="s">
        <v>17</v>
      </c>
      <c r="V4" s="34">
        <v>126</v>
      </c>
      <c r="W4" s="34">
        <v>126</v>
      </c>
      <c r="X4" s="35">
        <v>0.1171</v>
      </c>
      <c r="Y4" s="29"/>
      <c r="Z4" s="29" t="s">
        <v>18</v>
      </c>
      <c r="AA4" s="34">
        <v>129</v>
      </c>
      <c r="AB4" s="34">
        <v>129</v>
      </c>
      <c r="AC4" s="35">
        <v>0.13239999999999999</v>
      </c>
    </row>
    <row r="5" spans="1:29" x14ac:dyDescent="0.2">
      <c r="A5" t="s">
        <v>19</v>
      </c>
      <c r="B5">
        <v>69</v>
      </c>
      <c r="C5" s="34">
        <f>SUM($B$4:B5)</f>
        <v>258</v>
      </c>
      <c r="D5" s="35">
        <f>Table1337[[#This Row],[Running Total]]/B20</f>
        <v>0.15123094958968347</v>
      </c>
      <c r="F5" s="29" t="s">
        <v>20</v>
      </c>
      <c r="G5" s="34">
        <v>47</v>
      </c>
      <c r="H5" s="34">
        <v>167</v>
      </c>
      <c r="I5" s="35">
        <v>0.14149999999999999</v>
      </c>
      <c r="J5" s="29"/>
      <c r="K5" s="29" t="s">
        <v>21</v>
      </c>
      <c r="L5" s="34">
        <v>78</v>
      </c>
      <c r="M5" s="34">
        <v>210</v>
      </c>
      <c r="N5" s="35">
        <v>0.19089999999999999</v>
      </c>
      <c r="O5" s="29"/>
      <c r="P5" s="29" t="s">
        <v>22</v>
      </c>
      <c r="Q5" s="34">
        <v>36</v>
      </c>
      <c r="R5" s="34">
        <v>128</v>
      </c>
      <c r="S5" s="35">
        <v>0.1196</v>
      </c>
      <c r="T5" s="29"/>
      <c r="U5" s="29" t="s">
        <v>23</v>
      </c>
      <c r="V5" s="34">
        <v>107</v>
      </c>
      <c r="W5" s="34">
        <v>233</v>
      </c>
      <c r="X5" s="35">
        <v>0.2165</v>
      </c>
      <c r="Y5" s="29"/>
      <c r="Z5" s="29" t="s">
        <v>24</v>
      </c>
      <c r="AA5" s="34">
        <v>67</v>
      </c>
      <c r="AB5" s="34">
        <v>196</v>
      </c>
      <c r="AC5" s="35">
        <v>0.20119999999999999</v>
      </c>
    </row>
    <row r="6" spans="1:29" x14ac:dyDescent="0.2">
      <c r="A6" t="s">
        <v>25</v>
      </c>
      <c r="B6">
        <v>130</v>
      </c>
      <c r="C6" s="34">
        <f>SUM($B$4:B6)</f>
        <v>388</v>
      </c>
      <c r="D6" s="35">
        <f>Table1337[[#This Row],[Running Total]]/B20</f>
        <v>0.22743259085580306</v>
      </c>
      <c r="F6" s="29" t="s">
        <v>26</v>
      </c>
      <c r="G6" s="34">
        <v>85</v>
      </c>
      <c r="H6" s="34">
        <v>252</v>
      </c>
      <c r="I6" s="35">
        <v>0.21360000000000001</v>
      </c>
      <c r="J6" s="29"/>
      <c r="K6" s="29" t="s">
        <v>27</v>
      </c>
      <c r="L6" s="34">
        <v>98</v>
      </c>
      <c r="M6" s="34">
        <v>308</v>
      </c>
      <c r="N6" s="35">
        <v>0.28000000000000003</v>
      </c>
      <c r="O6" s="29"/>
      <c r="P6" s="29" t="s">
        <v>28</v>
      </c>
      <c r="Q6" s="34">
        <v>102</v>
      </c>
      <c r="R6" s="34">
        <v>230</v>
      </c>
      <c r="S6" s="35">
        <v>0.215</v>
      </c>
      <c r="T6" s="29"/>
      <c r="U6" s="29" t="s">
        <v>29</v>
      </c>
      <c r="V6" s="34">
        <v>85</v>
      </c>
      <c r="W6" s="34">
        <v>318</v>
      </c>
      <c r="X6" s="35">
        <v>0.29549999999999998</v>
      </c>
      <c r="Y6" s="29"/>
      <c r="Z6" s="29" t="s">
        <v>30</v>
      </c>
      <c r="AA6" s="34">
        <v>49</v>
      </c>
      <c r="AB6" s="34">
        <v>245</v>
      </c>
      <c r="AC6" s="35">
        <v>0.2515</v>
      </c>
    </row>
    <row r="7" spans="1:29" x14ac:dyDescent="0.2">
      <c r="A7" t="s">
        <v>31</v>
      </c>
      <c r="B7">
        <v>80</v>
      </c>
      <c r="C7" s="34">
        <f>SUM($B$4:B7)</f>
        <v>468</v>
      </c>
      <c r="D7" s="35">
        <f>Table1337[[#This Row],[Running Total]]/B20</f>
        <v>0.27432590855803046</v>
      </c>
      <c r="F7" s="29" t="s">
        <v>32</v>
      </c>
      <c r="G7" s="34">
        <v>87</v>
      </c>
      <c r="H7" s="34">
        <v>339</v>
      </c>
      <c r="I7" s="35">
        <v>0.2873</v>
      </c>
      <c r="J7" s="29"/>
      <c r="K7" s="29" t="s">
        <v>33</v>
      </c>
      <c r="L7" s="34">
        <v>52</v>
      </c>
      <c r="M7" s="34">
        <v>360</v>
      </c>
      <c r="N7" s="35">
        <v>0.32729999999999998</v>
      </c>
      <c r="O7" s="29"/>
      <c r="P7" s="29" t="s">
        <v>34</v>
      </c>
      <c r="Q7" s="34">
        <v>121</v>
      </c>
      <c r="R7" s="34">
        <v>351</v>
      </c>
      <c r="S7" s="35">
        <v>0.32800000000000001</v>
      </c>
      <c r="T7" s="29"/>
      <c r="U7" s="29" t="s">
        <v>35</v>
      </c>
      <c r="V7" s="34">
        <v>79</v>
      </c>
      <c r="W7" s="34">
        <v>397</v>
      </c>
      <c r="X7" s="35">
        <v>0.36899999999999999</v>
      </c>
      <c r="Y7" s="29"/>
      <c r="Z7" s="29" t="s">
        <v>36</v>
      </c>
      <c r="AA7" s="34">
        <v>96</v>
      </c>
      <c r="AB7" s="34">
        <v>341</v>
      </c>
      <c r="AC7" s="35">
        <v>0.35010000000000002</v>
      </c>
    </row>
    <row r="8" spans="1:29" x14ac:dyDescent="0.2">
      <c r="A8" t="s">
        <v>37</v>
      </c>
      <c r="B8">
        <v>103</v>
      </c>
      <c r="C8" s="34">
        <f>SUM($B$4:B8)</f>
        <v>571</v>
      </c>
      <c r="D8" s="35">
        <f>Table1337[[#This Row],[Running Total]]/B20</f>
        <v>0.33470105509964831</v>
      </c>
      <c r="F8" s="29" t="s">
        <v>38</v>
      </c>
      <c r="G8" s="34">
        <v>35</v>
      </c>
      <c r="H8" s="34">
        <v>374</v>
      </c>
      <c r="I8" s="35">
        <v>0.31690000000000002</v>
      </c>
      <c r="J8" s="29"/>
      <c r="K8" s="29" t="s">
        <v>39</v>
      </c>
      <c r="L8" s="34">
        <v>67</v>
      </c>
      <c r="M8" s="34">
        <v>427</v>
      </c>
      <c r="N8" s="35">
        <v>0.38819999999999999</v>
      </c>
      <c r="O8" s="29"/>
      <c r="P8" s="29" t="s">
        <v>40</v>
      </c>
      <c r="Q8" s="34">
        <v>34</v>
      </c>
      <c r="R8" s="34">
        <v>385</v>
      </c>
      <c r="S8" s="35">
        <v>0.35980000000000001</v>
      </c>
      <c r="T8" s="29"/>
      <c r="U8" s="29" t="s">
        <v>41</v>
      </c>
      <c r="V8" s="34">
        <v>42</v>
      </c>
      <c r="W8" s="34">
        <v>439</v>
      </c>
      <c r="X8" s="35">
        <v>0.40799999999999997</v>
      </c>
      <c r="Y8" s="29"/>
      <c r="Z8" s="29" t="s">
        <v>42</v>
      </c>
      <c r="AA8" s="34">
        <v>28</v>
      </c>
      <c r="AB8" s="34">
        <v>369</v>
      </c>
      <c r="AC8" s="35">
        <v>0.37890000000000001</v>
      </c>
    </row>
    <row r="9" spans="1:29" x14ac:dyDescent="0.2">
      <c r="A9" s="29" t="s">
        <v>43</v>
      </c>
      <c r="B9" s="34"/>
      <c r="C9" s="34"/>
      <c r="D9" s="35"/>
      <c r="F9" s="29" t="s">
        <v>44</v>
      </c>
      <c r="G9" s="34">
        <v>153</v>
      </c>
      <c r="H9" s="34">
        <v>527</v>
      </c>
      <c r="I9" s="35">
        <v>0.4466</v>
      </c>
      <c r="J9" s="29"/>
      <c r="K9" s="29" t="s">
        <v>45</v>
      </c>
      <c r="L9" s="34">
        <v>105</v>
      </c>
      <c r="M9" s="34">
        <v>532</v>
      </c>
      <c r="N9" s="35">
        <v>0.48359999999999997</v>
      </c>
      <c r="O9" s="29"/>
      <c r="P9" s="29" t="s">
        <v>46</v>
      </c>
      <c r="Q9" s="34">
        <v>52</v>
      </c>
      <c r="R9" s="34">
        <v>437</v>
      </c>
      <c r="S9" s="35">
        <v>0.40839999999999999</v>
      </c>
      <c r="T9" s="29"/>
      <c r="U9" s="29" t="s">
        <v>47</v>
      </c>
      <c r="V9" s="34">
        <v>53</v>
      </c>
      <c r="W9" s="34">
        <v>492</v>
      </c>
      <c r="X9" s="35">
        <v>0.4572</v>
      </c>
      <c r="Y9" s="29"/>
      <c r="Z9" s="29" t="s">
        <v>48</v>
      </c>
      <c r="AA9" s="34">
        <v>43</v>
      </c>
      <c r="AB9" s="34">
        <v>412</v>
      </c>
      <c r="AC9" s="35">
        <v>0.42299999999999999</v>
      </c>
    </row>
    <row r="10" spans="1:29" x14ac:dyDescent="0.2">
      <c r="A10" s="29" t="s">
        <v>49</v>
      </c>
      <c r="B10" s="34"/>
      <c r="C10" s="34"/>
      <c r="D10" s="35"/>
      <c r="F10" s="29" t="s">
        <v>50</v>
      </c>
      <c r="G10" s="34">
        <v>92</v>
      </c>
      <c r="H10" s="34">
        <v>619</v>
      </c>
      <c r="I10" s="35">
        <v>0.52459999999999996</v>
      </c>
      <c r="J10" s="29"/>
      <c r="K10" s="29" t="s">
        <v>51</v>
      </c>
      <c r="L10" s="34">
        <v>88</v>
      </c>
      <c r="M10" s="34">
        <v>620</v>
      </c>
      <c r="N10" s="35">
        <v>0.56359999999999999</v>
      </c>
      <c r="O10" s="29"/>
      <c r="P10" s="29" t="s">
        <v>52</v>
      </c>
      <c r="Q10" s="34">
        <v>64</v>
      </c>
      <c r="R10" s="34">
        <v>501</v>
      </c>
      <c r="S10" s="35">
        <v>0.46820000000000001</v>
      </c>
      <c r="T10" s="29"/>
      <c r="U10" s="29" t="s">
        <v>53</v>
      </c>
      <c r="V10" s="34">
        <v>126</v>
      </c>
      <c r="W10" s="34">
        <v>618</v>
      </c>
      <c r="X10" s="35">
        <v>0.57430000000000003</v>
      </c>
      <c r="Y10" s="29"/>
      <c r="Z10" s="29" t="s">
        <v>54</v>
      </c>
      <c r="AA10" s="34">
        <v>61</v>
      </c>
      <c r="AB10" s="34">
        <v>473</v>
      </c>
      <c r="AC10" s="35">
        <v>0.48559999999999998</v>
      </c>
    </row>
    <row r="11" spans="1:29" x14ac:dyDescent="0.2">
      <c r="A11" s="29" t="s">
        <v>55</v>
      </c>
      <c r="B11" s="34"/>
      <c r="C11" s="34"/>
      <c r="D11" s="35"/>
      <c r="F11" s="29" t="s">
        <v>56</v>
      </c>
      <c r="G11" s="34">
        <v>110</v>
      </c>
      <c r="H11" s="34">
        <v>729</v>
      </c>
      <c r="I11" s="35">
        <v>0.61780000000000002</v>
      </c>
      <c r="J11" s="29"/>
      <c r="K11" s="29" t="s">
        <v>57</v>
      </c>
      <c r="L11" s="34">
        <v>86</v>
      </c>
      <c r="M11" s="34">
        <v>706</v>
      </c>
      <c r="N11" s="35">
        <v>0.64180000000000004</v>
      </c>
      <c r="O11" s="29"/>
      <c r="P11" s="29" t="s">
        <v>58</v>
      </c>
      <c r="Q11" s="34">
        <v>151</v>
      </c>
      <c r="R11" s="34">
        <v>652</v>
      </c>
      <c r="S11" s="35">
        <v>0.60929999999999995</v>
      </c>
      <c r="T11" s="29"/>
      <c r="U11" s="29" t="s">
        <v>59</v>
      </c>
      <c r="V11" s="34">
        <v>132</v>
      </c>
      <c r="W11" s="34">
        <v>750</v>
      </c>
      <c r="X11" s="35">
        <v>0.69699999999999995</v>
      </c>
      <c r="Y11" s="29"/>
      <c r="Z11" s="29" t="s">
        <v>60</v>
      </c>
      <c r="AA11" s="34">
        <v>147</v>
      </c>
      <c r="AB11" s="34">
        <v>620</v>
      </c>
      <c r="AC11" s="35">
        <v>0.63660000000000005</v>
      </c>
    </row>
    <row r="12" spans="1:29" x14ac:dyDescent="0.2">
      <c r="A12" s="29" t="s">
        <v>61</v>
      </c>
      <c r="B12" s="34"/>
      <c r="C12" s="34"/>
      <c r="D12" s="35"/>
      <c r="F12" s="29" t="s">
        <v>62</v>
      </c>
      <c r="G12" s="34">
        <v>104</v>
      </c>
      <c r="H12" s="34">
        <v>833</v>
      </c>
      <c r="I12" s="35">
        <v>0.70589999999999997</v>
      </c>
      <c r="J12" s="29"/>
      <c r="K12" s="29" t="s">
        <v>63</v>
      </c>
      <c r="L12" s="34">
        <v>89</v>
      </c>
      <c r="M12" s="34">
        <v>795</v>
      </c>
      <c r="N12" s="35">
        <v>0.72270000000000001</v>
      </c>
      <c r="O12" s="29"/>
      <c r="P12" s="29" t="s">
        <v>64</v>
      </c>
      <c r="Q12" s="34">
        <v>80</v>
      </c>
      <c r="R12" s="34">
        <v>732</v>
      </c>
      <c r="S12" s="35">
        <v>0.68410000000000004</v>
      </c>
      <c r="T12" s="29"/>
      <c r="U12" s="29" t="s">
        <v>65</v>
      </c>
      <c r="V12" s="34">
        <v>83</v>
      </c>
      <c r="W12" s="34">
        <v>833</v>
      </c>
      <c r="X12" s="35">
        <v>0.7742</v>
      </c>
      <c r="Y12" s="29"/>
      <c r="Z12" s="29" t="s">
        <v>66</v>
      </c>
      <c r="AA12" s="34">
        <v>113</v>
      </c>
      <c r="AB12" s="34">
        <v>733</v>
      </c>
      <c r="AC12" s="35">
        <v>0.75260000000000005</v>
      </c>
    </row>
    <row r="13" spans="1:29" x14ac:dyDescent="0.2">
      <c r="A13" s="29" t="s">
        <v>67</v>
      </c>
      <c r="B13" s="34"/>
      <c r="C13" s="34"/>
      <c r="D13" s="35"/>
      <c r="F13" s="29" t="s">
        <v>68</v>
      </c>
      <c r="G13" s="34">
        <v>79</v>
      </c>
      <c r="H13" s="34">
        <v>912</v>
      </c>
      <c r="I13" s="35">
        <v>0.77290000000000003</v>
      </c>
      <c r="J13" s="29"/>
      <c r="K13" s="29" t="s">
        <v>69</v>
      </c>
      <c r="L13" s="34">
        <v>54</v>
      </c>
      <c r="M13" s="34">
        <v>849</v>
      </c>
      <c r="N13" s="35">
        <v>0.77180000000000004</v>
      </c>
      <c r="O13" s="29"/>
      <c r="P13" s="29" t="s">
        <v>70</v>
      </c>
      <c r="Q13" s="34">
        <v>124</v>
      </c>
      <c r="R13" s="34">
        <v>856</v>
      </c>
      <c r="S13" s="35">
        <v>0.8</v>
      </c>
      <c r="T13" s="29"/>
      <c r="U13" s="29" t="s">
        <v>71</v>
      </c>
      <c r="V13" s="34">
        <v>54</v>
      </c>
      <c r="W13" s="34">
        <v>887</v>
      </c>
      <c r="X13" s="35">
        <v>0.82430000000000003</v>
      </c>
      <c r="Y13" s="29"/>
      <c r="Z13" s="29" t="s">
        <v>72</v>
      </c>
      <c r="AA13" s="34">
        <v>38</v>
      </c>
      <c r="AB13" s="34">
        <v>771</v>
      </c>
      <c r="AC13" s="35">
        <v>0.79159999999999997</v>
      </c>
    </row>
    <row r="14" spans="1:29" x14ac:dyDescent="0.2">
      <c r="A14" s="29" t="s">
        <v>73</v>
      </c>
      <c r="B14" s="34"/>
      <c r="C14" s="34"/>
      <c r="D14" s="35"/>
      <c r="F14" s="29" t="s">
        <v>74</v>
      </c>
      <c r="G14" s="34">
        <v>59</v>
      </c>
      <c r="H14" s="34">
        <v>971</v>
      </c>
      <c r="I14" s="35">
        <v>0.82289999999999996</v>
      </c>
      <c r="J14" s="29"/>
      <c r="K14" s="29" t="s">
        <v>75</v>
      </c>
      <c r="L14" s="34">
        <v>54</v>
      </c>
      <c r="M14" s="34">
        <v>903</v>
      </c>
      <c r="N14" s="35">
        <v>0.82089999999999996</v>
      </c>
      <c r="O14" s="29"/>
      <c r="P14" s="29" t="s">
        <v>76</v>
      </c>
      <c r="Q14" s="34">
        <v>60</v>
      </c>
      <c r="R14" s="34">
        <v>916</v>
      </c>
      <c r="S14" s="35">
        <v>0.85609999999999997</v>
      </c>
      <c r="T14" s="29"/>
      <c r="U14" s="29" t="s">
        <v>77</v>
      </c>
      <c r="V14" s="34">
        <v>52</v>
      </c>
      <c r="W14" s="34">
        <v>939</v>
      </c>
      <c r="X14" s="35">
        <v>0.87270000000000003</v>
      </c>
      <c r="Y14" s="29"/>
      <c r="Z14" s="29" t="s">
        <v>78</v>
      </c>
      <c r="AA14" s="34">
        <v>95</v>
      </c>
      <c r="AB14" s="34">
        <v>866</v>
      </c>
      <c r="AC14" s="35">
        <v>0.8891</v>
      </c>
    </row>
    <row r="15" spans="1:29" x14ac:dyDescent="0.2">
      <c r="A15" s="29" t="s">
        <v>79</v>
      </c>
      <c r="B15" s="34"/>
      <c r="C15" s="34"/>
      <c r="D15" s="35"/>
      <c r="F15" s="29" t="s">
        <v>80</v>
      </c>
      <c r="G15" s="34">
        <v>86</v>
      </c>
      <c r="H15" s="34">
        <v>1057</v>
      </c>
      <c r="I15" s="35">
        <v>0.89580000000000004</v>
      </c>
      <c r="J15" s="29"/>
      <c r="K15" s="29" t="s">
        <v>81</v>
      </c>
      <c r="L15" s="34">
        <v>121</v>
      </c>
      <c r="M15" s="34">
        <v>1024</v>
      </c>
      <c r="N15" s="35">
        <v>0.93089999999999995</v>
      </c>
      <c r="O15" s="29"/>
      <c r="P15" s="29" t="s">
        <v>82</v>
      </c>
      <c r="Q15" s="34">
        <v>69</v>
      </c>
      <c r="R15" s="34">
        <v>985</v>
      </c>
      <c r="S15" s="35">
        <v>0.92059999999999997</v>
      </c>
      <c r="T15" s="29"/>
      <c r="U15" s="29" t="s">
        <v>83</v>
      </c>
      <c r="V15" s="34">
        <v>100</v>
      </c>
      <c r="W15" s="34">
        <v>1039</v>
      </c>
      <c r="X15" s="35">
        <v>0.96560000000000001</v>
      </c>
      <c r="Y15" s="29"/>
      <c r="Z15" s="29" t="s">
        <v>84</v>
      </c>
      <c r="AA15" s="34">
        <v>33</v>
      </c>
      <c r="AB15" s="34">
        <v>899</v>
      </c>
      <c r="AC15" s="35">
        <v>0.92300000000000004</v>
      </c>
    </row>
    <row r="16" spans="1:29" x14ac:dyDescent="0.2">
      <c r="A16" s="29" t="s">
        <v>85</v>
      </c>
      <c r="B16" s="34"/>
      <c r="C16" s="34"/>
      <c r="D16" s="35"/>
      <c r="F16" s="29" t="s">
        <v>86</v>
      </c>
      <c r="G16" s="34">
        <v>42</v>
      </c>
      <c r="H16" s="34">
        <v>1099</v>
      </c>
      <c r="I16" s="35">
        <v>0.93140000000000001</v>
      </c>
      <c r="J16" s="29"/>
      <c r="K16" s="29" t="s">
        <v>87</v>
      </c>
      <c r="L16" s="34">
        <v>12</v>
      </c>
      <c r="M16" s="34">
        <v>1036</v>
      </c>
      <c r="N16" s="35">
        <v>0.94179999999999997</v>
      </c>
      <c r="O16" s="29"/>
      <c r="P16" s="29" t="s">
        <v>88</v>
      </c>
      <c r="Q16" s="34">
        <v>12</v>
      </c>
      <c r="R16" s="34">
        <v>997</v>
      </c>
      <c r="S16" s="35">
        <v>0.93179999999999996</v>
      </c>
      <c r="T16" s="29"/>
      <c r="U16" s="29" t="s">
        <v>89</v>
      </c>
      <c r="V16" s="34">
        <v>5</v>
      </c>
      <c r="W16" s="34">
        <v>1044</v>
      </c>
      <c r="X16" s="35">
        <v>0.97030000000000005</v>
      </c>
      <c r="Y16" s="29"/>
      <c r="Z16" s="29" t="s">
        <v>90</v>
      </c>
      <c r="AA16" s="34">
        <v>33</v>
      </c>
      <c r="AB16" s="34">
        <v>932</v>
      </c>
      <c r="AC16" s="35">
        <v>0.95689999999999997</v>
      </c>
    </row>
    <row r="17" spans="1:38" x14ac:dyDescent="0.2">
      <c r="A17" s="29" t="s">
        <v>91</v>
      </c>
      <c r="B17" s="34"/>
      <c r="C17" s="34"/>
      <c r="D17" s="35"/>
      <c r="F17" s="29" t="s">
        <v>19</v>
      </c>
      <c r="G17" s="34">
        <v>29</v>
      </c>
      <c r="H17" s="34">
        <v>1128</v>
      </c>
      <c r="I17" s="35">
        <v>0.95589999999999997</v>
      </c>
      <c r="J17" s="29"/>
      <c r="K17" s="29" t="s">
        <v>20</v>
      </c>
      <c r="L17" s="34">
        <v>2</v>
      </c>
      <c r="M17" s="34">
        <v>1038</v>
      </c>
      <c r="N17" s="35">
        <v>0.94359999999999999</v>
      </c>
      <c r="O17" s="29"/>
      <c r="P17" s="29" t="s">
        <v>21</v>
      </c>
      <c r="Q17" s="34">
        <v>10</v>
      </c>
      <c r="R17" s="34">
        <v>1007</v>
      </c>
      <c r="S17" s="35">
        <v>0.94110000000000005</v>
      </c>
      <c r="T17" s="29"/>
      <c r="U17" s="29" t="s">
        <v>22</v>
      </c>
      <c r="V17" s="34">
        <v>4</v>
      </c>
      <c r="W17" s="34">
        <v>1048</v>
      </c>
      <c r="X17" s="35">
        <v>0.97399999999999998</v>
      </c>
      <c r="Y17" s="29"/>
      <c r="Z17" s="29" t="s">
        <v>23</v>
      </c>
      <c r="AA17" s="34">
        <v>3</v>
      </c>
      <c r="AB17" s="34">
        <v>935</v>
      </c>
      <c r="AC17" s="35">
        <v>0.96</v>
      </c>
    </row>
    <row r="18" spans="1:38" x14ac:dyDescent="0.2">
      <c r="A18" s="29" t="s">
        <v>92</v>
      </c>
      <c r="B18" s="34"/>
      <c r="C18" s="34"/>
      <c r="D18" s="35"/>
      <c r="F18" s="29" t="s">
        <v>93</v>
      </c>
      <c r="G18" s="34">
        <v>7</v>
      </c>
      <c r="H18" s="34">
        <v>1135</v>
      </c>
      <c r="I18" s="35">
        <v>0.96189999999999998</v>
      </c>
      <c r="J18" s="29"/>
      <c r="K18" s="29" t="s">
        <v>94</v>
      </c>
      <c r="L18" s="34">
        <v>15</v>
      </c>
      <c r="M18" s="34">
        <v>1053</v>
      </c>
      <c r="N18" s="35">
        <v>0.95730000000000004</v>
      </c>
      <c r="O18" s="29"/>
      <c r="P18" s="29" t="s">
        <v>95</v>
      </c>
      <c r="Q18" s="34">
        <v>7</v>
      </c>
      <c r="R18" s="34">
        <v>1014</v>
      </c>
      <c r="S18" s="35">
        <v>0.94769999999999999</v>
      </c>
      <c r="T18" s="29"/>
      <c r="U18" s="29" t="s">
        <v>96</v>
      </c>
      <c r="V18" s="34">
        <v>6</v>
      </c>
      <c r="W18" s="34">
        <v>1054</v>
      </c>
      <c r="X18" s="35">
        <v>0.97960000000000003</v>
      </c>
      <c r="Y18" s="29"/>
      <c r="Z18" s="29" t="s">
        <v>97</v>
      </c>
      <c r="AA18" s="34">
        <v>7</v>
      </c>
      <c r="AB18" s="34">
        <v>942</v>
      </c>
      <c r="AC18" s="35">
        <v>0.96709999999999996</v>
      </c>
    </row>
    <row r="19" spans="1:38" x14ac:dyDescent="0.2">
      <c r="A19" s="36" t="s">
        <v>98</v>
      </c>
      <c r="B19" s="34"/>
      <c r="C19" s="34"/>
      <c r="D19" s="34"/>
      <c r="F19" s="36" t="s">
        <v>98</v>
      </c>
      <c r="G19" s="34">
        <v>1128</v>
      </c>
      <c r="H19" s="34"/>
      <c r="I19" s="34"/>
      <c r="J19" s="29"/>
      <c r="K19" s="36" t="s">
        <v>98</v>
      </c>
      <c r="L19" s="34">
        <v>1038</v>
      </c>
      <c r="M19" s="34"/>
      <c r="N19" s="34"/>
      <c r="O19" s="29"/>
      <c r="P19" s="36" t="s">
        <v>98</v>
      </c>
      <c r="Q19" s="34">
        <v>1007</v>
      </c>
      <c r="R19" s="34"/>
      <c r="S19" s="34"/>
      <c r="T19" s="29"/>
      <c r="U19" s="36" t="s">
        <v>98</v>
      </c>
      <c r="V19" s="34">
        <v>1048</v>
      </c>
      <c r="W19" s="34"/>
      <c r="X19" s="34"/>
      <c r="Y19" s="29"/>
      <c r="Z19" s="36" t="s">
        <v>98</v>
      </c>
      <c r="AA19" s="34">
        <v>935</v>
      </c>
      <c r="AB19" s="34"/>
      <c r="AC19" s="34"/>
      <c r="AI19" s="91"/>
    </row>
    <row r="20" spans="1:38" x14ac:dyDescent="0.2">
      <c r="A20" t="s">
        <v>99</v>
      </c>
      <c r="B20">
        <v>1706</v>
      </c>
    </row>
    <row r="22" spans="1:38" ht="19" x14ac:dyDescent="0.25">
      <c r="A22" s="28" t="inlineStr">
        <is>
          <t>Class of 2027 full-time placement</t>
        </is>
      </c>
    </row>
    <row r="23" spans="1:38" x14ac:dyDescent="0.2">
      <c r="A23" s="12" t="s">
        <v>101</v>
      </c>
      <c r="B23" s="13" t="inlineStr">
        <is>
          <t>06/26/2026</t>
        </is>
      </c>
      <c r="C23" s="13" t="inlineStr">
        <is>
          <t>07/10/2026</t>
        </is>
      </c>
      <c r="D23" s="13" t="inlineStr">
        <is>
          <t>07/17/2026</t>
        </is>
      </c>
      <c r="E23" s="13" t="inlineStr">
        <is>
          <t>07/24/2026</t>
        </is>
      </c>
      <c r="F23" s="13" t="inlineStr">
        <is>
          <t>07/31/2026</t>
        </is>
      </c>
      <c r="G23" s="13" t="inlineStr">
        <is>
          <t>08/07/2026</t>
        </is>
      </c>
      <c r="H23" s="13" t="inlineStr">
        <is>
          <t>08/14/2026</t>
        </is>
      </c>
      <c r="I23" s="13" t="inlineStr">
        <is>
          <t>08/21/2026</t>
        </is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2"/>
      <c r="AA23" s="13"/>
      <c r="AB23" s="13"/>
      <c r="AC23" s="13"/>
      <c r="AD23" s="80"/>
      <c r="AE23" s="80"/>
      <c r="AF23" s="80"/>
      <c r="AG23" s="80"/>
      <c r="AH23" s="12"/>
      <c r="AI23" s="80"/>
      <c r="AJ23" s="80"/>
      <c r="AK23" s="80"/>
      <c r="AL23" s="80"/>
    </row>
    <row r="24" spans="1:38" x14ac:dyDescent="0.2">
      <c r="A24" s="12" t="s">
        <v>10</v>
      </c>
      <c r="B24" s="14">
        <v>0.1107</v>
      </c>
      <c r="C24" s="14">
        <v>0.092</v>
      </c>
      <c r="D24" s="14">
        <v>0.0935</v>
      </c>
      <c r="E24" s="14">
        <v>0.0935</v>
      </c>
      <c r="F24" s="14">
        <v>0.0941</v>
      </c>
      <c r="G24" s="15">
        <v>0.0951</v>
      </c>
      <c r="H24" s="14">
        <v>0.1047</v>
      </c>
      <c r="I24" s="14">
        <v>0.1069</v>
      </c>
      <c r="J24" s="14"/>
      <c r="K24" s="14"/>
      <c r="L24" s="14"/>
      <c r="M24" s="14"/>
      <c r="N24" s="14"/>
      <c r="O24" s="14"/>
      <c r="P24" s="1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81"/>
      <c r="AD24" s="82"/>
      <c r="AE24" s="2"/>
      <c r="AF24" s="2"/>
      <c r="AG24" s="2"/>
      <c r="AH24" s="2"/>
      <c r="AI24" s="2"/>
      <c r="AJ24" s="87"/>
      <c r="AK24" s="2"/>
      <c r="AL24" s="2"/>
    </row>
    <row r="25" spans="1:38" x14ac:dyDescent="0.2">
      <c r="S25" s="75"/>
      <c r="T25" s="75"/>
      <c r="U25" s="75"/>
      <c r="V25" s="75"/>
      <c r="W25" s="75"/>
      <c r="X25" s="75"/>
      <c r="Y25" s="75"/>
    </row>
    <row r="26" spans="1:38" x14ac:dyDescent="0.2">
      <c r="A26" s="12" t="s">
        <v>126</v>
      </c>
      <c r="B26" s="13" t="inlineStr">
        <is>
          <t>06/26/2026</t>
        </is>
      </c>
      <c r="C26" s="13" t="inlineStr">
        <is>
          <t>07/10/2026</t>
        </is>
      </c>
      <c r="D26" s="13" t="inlineStr">
        <is>
          <t>07/17/2026</t>
        </is>
      </c>
      <c r="E26" s="13" t="inlineStr">
        <is>
          <t>07/24/2026</t>
        </is>
      </c>
      <c r="F26" s="13" t="inlineStr">
        <is>
          <t>07/31/2026</t>
        </is>
      </c>
      <c r="G26" s="13" t="inlineStr">
        <is>
          <t>08/07/2026</t>
        </is>
      </c>
      <c r="H26" s="13" t="inlineStr">
        <is>
          <t>08/14/2026</t>
        </is>
      </c>
      <c r="I26" s="13" t="inlineStr">
        <is>
          <t>08/21/2026</t>
        </is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2"/>
      <c r="AA26" s="13"/>
      <c r="AB26" s="13"/>
      <c r="AC26" s="13"/>
      <c r="AD26" s="80"/>
      <c r="AE26" s="80"/>
      <c r="AF26" s="80"/>
      <c r="AG26" s="80"/>
      <c r="AH26" s="12"/>
      <c r="AI26" s="80"/>
      <c r="AJ26" s="80"/>
      <c r="AK26" s="80"/>
      <c r="AL26" s="80"/>
    </row>
    <row r="27" spans="1:38" x14ac:dyDescent="0.2">
      <c r="A27" s="12" t="s">
        <v>127</v>
      </c>
      <c r="B27" s="16">
        <v>223</v>
      </c>
      <c r="C27" s="16">
        <v>178</v>
      </c>
      <c r="D27" s="16">
        <v>181</v>
      </c>
      <c r="E27" s="16">
        <v>181</v>
      </c>
      <c r="F27" s="16">
        <v>182</v>
      </c>
      <c r="G27" s="16">
        <v>184</v>
      </c>
      <c r="H27" s="16">
        <v>202</v>
      </c>
      <c r="I27" s="16">
        <v>206</v>
      </c>
      <c r="J27" s="16"/>
      <c r="K27" s="16"/>
      <c r="L27" s="16"/>
      <c r="M27" s="16"/>
      <c r="N27" s="16"/>
      <c r="O27" s="16"/>
      <c r="P27" s="16"/>
      <c r="Q27" s="32"/>
      <c r="R27" s="73"/>
      <c r="S27" s="76"/>
      <c r="T27" s="76"/>
      <c r="U27" s="76"/>
      <c r="V27" s="76"/>
      <c r="W27" s="4"/>
      <c r="X27" s="4"/>
      <c r="Y27" s="4"/>
      <c r="Z27" s="4"/>
      <c r="AA27" s="79"/>
      <c r="AB27" s="79"/>
      <c r="AC27" s="79"/>
      <c r="AD27" s="79"/>
      <c r="AE27" s="4"/>
      <c r="AF27" s="4"/>
      <c r="AG27" s="4"/>
      <c r="AH27" s="4"/>
      <c r="AI27" s="4"/>
      <c r="AJ27" s="4"/>
      <c r="AK27" s="4"/>
      <c r="AL27" s="4"/>
    </row>
    <row r="28" spans="1:38" x14ac:dyDescent="0.2">
      <c r="A28" s="12" t="s">
        <v>128</v>
      </c>
      <c r="B28" s="16">
        <v>935</v>
      </c>
      <c r="C28" s="16">
        <v>916</v>
      </c>
      <c r="D28" s="16">
        <v>916</v>
      </c>
      <c r="E28" s="16">
        <v>919</v>
      </c>
      <c r="F28" s="16">
        <v>923</v>
      </c>
      <c r="G28" s="16">
        <v>986</v>
      </c>
      <c r="H28" s="16">
        <v>988</v>
      </c>
      <c r="I28" s="16">
        <v>984</v>
      </c>
      <c r="J28" s="16"/>
      <c r="K28" s="16"/>
      <c r="L28" s="16"/>
      <c r="M28" s="16"/>
      <c r="N28" s="16"/>
      <c r="O28" s="16"/>
      <c r="P28" s="16"/>
      <c r="Q28" s="32"/>
      <c r="R28" s="73"/>
      <c r="S28" s="76"/>
      <c r="T28" s="76"/>
      <c r="U28" s="76"/>
      <c r="V28" s="76"/>
      <c r="W28" s="4"/>
      <c r="X28" s="4"/>
      <c r="Y28" s="4"/>
      <c r="Z28" s="4"/>
      <c r="AA28" s="79"/>
      <c r="AB28" s="79"/>
      <c r="AC28" s="79"/>
      <c r="AD28" s="79"/>
      <c r="AE28" s="4"/>
      <c r="AF28" s="4"/>
      <c r="AG28" s="4"/>
      <c r="AH28" s="4"/>
      <c r="AI28" s="4"/>
      <c r="AJ28" s="4"/>
      <c r="AK28" s="4"/>
      <c r="AL28" s="4"/>
    </row>
    <row r="29" spans="1:38" x14ac:dyDescent="0.2">
      <c r="A29" s="16" t="s">
        <v>129</v>
      </c>
      <c r="B29" s="16">
        <v>5</v>
      </c>
      <c r="C29" s="16">
        <v>5</v>
      </c>
      <c r="D29" s="16">
        <v>5</v>
      </c>
      <c r="E29" s="16">
        <v>5</v>
      </c>
      <c r="F29" s="16">
        <v>9</v>
      </c>
      <c r="G29" s="16">
        <v>9</v>
      </c>
      <c r="H29" s="16">
        <v>10</v>
      </c>
      <c r="I29" s="16">
        <v>10</v>
      </c>
      <c r="J29" s="16"/>
      <c r="K29" s="16"/>
      <c r="L29" s="16"/>
      <c r="M29" s="16"/>
      <c r="N29" s="16"/>
      <c r="O29" s="16"/>
      <c r="P29" s="16"/>
      <c r="Q29" s="32"/>
      <c r="R29" s="73"/>
      <c r="S29" s="76"/>
      <c r="T29" s="76"/>
      <c r="U29" s="76"/>
      <c r="V29" s="76"/>
      <c r="W29" s="4"/>
      <c r="X29" s="4"/>
      <c r="Y29" s="4"/>
      <c r="Z29" s="4"/>
      <c r="AA29" s="79"/>
      <c r="AB29" s="79"/>
      <c r="AC29" s="79"/>
      <c r="AD29" s="79"/>
      <c r="AE29" s="4"/>
      <c r="AF29" s="4"/>
      <c r="AG29" s="4"/>
      <c r="AH29" s="4"/>
      <c r="AI29" s="4"/>
      <c r="AJ29" s="4"/>
      <c r="AK29" s="4"/>
      <c r="AL29" s="4"/>
    </row>
    <row r="30" spans="1:38" x14ac:dyDescent="0.2">
      <c r="A30" s="12" t="s">
        <v>130</v>
      </c>
      <c r="B30" s="16">
        <v>856</v>
      </c>
      <c r="C30" s="16">
        <v>840</v>
      </c>
      <c r="D30" s="16">
        <v>838</v>
      </c>
      <c r="E30" s="16">
        <v>836</v>
      </c>
      <c r="F30" s="16">
        <v>830</v>
      </c>
      <c r="G30" s="16">
        <v>764</v>
      </c>
      <c r="H30" s="16">
        <v>740</v>
      </c>
      <c r="I30" s="16">
        <v>737</v>
      </c>
      <c r="J30" s="16"/>
      <c r="K30" s="16"/>
      <c r="L30" s="16"/>
      <c r="M30" s="16"/>
      <c r="N30" s="16"/>
      <c r="O30" s="16"/>
      <c r="P30" s="16"/>
      <c r="Q30" s="32"/>
      <c r="R30" s="73"/>
      <c r="S30" s="76"/>
      <c r="T30" s="76"/>
      <c r="U30" s="76"/>
      <c r="V30" s="76"/>
      <c r="W30" s="4"/>
      <c r="X30" s="4"/>
      <c r="Y30" s="4"/>
      <c r="Z30" s="4"/>
      <c r="AA30" s="79"/>
      <c r="AB30" s="79"/>
      <c r="AC30" s="79"/>
      <c r="AD30" s="79"/>
      <c r="AE30" s="4"/>
      <c r="AF30" s="4"/>
      <c r="AG30" s="4"/>
      <c r="AH30" s="4"/>
      <c r="AI30" s="4"/>
      <c r="AJ30" s="4"/>
      <c r="AK30" s="4"/>
      <c r="AL30" s="4"/>
    </row>
    <row r="31" spans="1:38" x14ac:dyDescent="0.2">
      <c r="A31" s="16" t="s">
        <v>131</v>
      </c>
      <c r="B31" s="16">
        <v>52</v>
      </c>
      <c r="C31" s="16">
        <v>52</v>
      </c>
      <c r="D31" s="16">
        <v>51</v>
      </c>
      <c r="E31" s="16">
        <v>51</v>
      </c>
      <c r="F31" s="16">
        <v>50</v>
      </c>
      <c r="G31" s="16">
        <v>50</v>
      </c>
      <c r="H31" s="16">
        <v>50</v>
      </c>
      <c r="I31" s="16">
        <v>50</v>
      </c>
      <c r="J31" s="16"/>
      <c r="K31" s="16"/>
      <c r="L31" s="16"/>
      <c r="M31" s="16"/>
      <c r="N31" s="16"/>
      <c r="O31" s="16"/>
      <c r="P31" s="16"/>
      <c r="Q31" s="32"/>
      <c r="R31" s="73"/>
      <c r="S31" s="76"/>
      <c r="T31" s="76"/>
      <c r="U31" s="76"/>
      <c r="V31" s="76"/>
      <c r="W31" s="4"/>
      <c r="X31" s="4"/>
      <c r="Y31" s="4"/>
      <c r="Z31" s="4"/>
      <c r="AA31" s="79"/>
      <c r="AB31" s="79"/>
      <c r="AC31" s="79"/>
      <c r="AD31" s="79"/>
      <c r="AE31" s="4"/>
      <c r="AF31" s="4"/>
      <c r="AG31" s="4"/>
      <c r="AH31" s="4"/>
      <c r="AI31" s="4"/>
      <c r="AJ31" s="4"/>
      <c r="AK31" s="4"/>
      <c r="AL31" s="4"/>
    </row>
    <row r="32" spans="1:38" x14ac:dyDescent="0.2">
      <c r="A32" s="16" t="s">
        <v>132</v>
      </c>
      <c r="B32" s="16">
        <v>6</v>
      </c>
      <c r="C32" s="16">
        <v>6</v>
      </c>
      <c r="D32" s="16">
        <v>6</v>
      </c>
      <c r="E32" s="16">
        <v>6</v>
      </c>
      <c r="F32" s="16">
        <v>6</v>
      </c>
      <c r="G32" s="16">
        <v>6</v>
      </c>
      <c r="H32" s="16">
        <v>6</v>
      </c>
      <c r="I32" s="16">
        <v>6</v>
      </c>
      <c r="J32" s="16"/>
      <c r="K32" s="16"/>
      <c r="L32" s="16"/>
      <c r="M32" s="16"/>
      <c r="N32" s="16"/>
      <c r="O32" s="16"/>
      <c r="P32" s="16"/>
      <c r="Q32" s="32"/>
      <c r="R32" s="73"/>
      <c r="S32" s="76"/>
      <c r="T32" s="76"/>
      <c r="U32" s="76"/>
      <c r="V32" s="76"/>
      <c r="W32" s="4"/>
      <c r="X32" s="4"/>
      <c r="Y32" s="4"/>
      <c r="Z32" s="4"/>
      <c r="AA32" s="79"/>
      <c r="AB32" s="79"/>
      <c r="AC32" s="79"/>
      <c r="AD32" s="79"/>
      <c r="AE32" s="4"/>
      <c r="AF32" s="4"/>
      <c r="AG32" s="4"/>
      <c r="AH32" s="4"/>
      <c r="AI32" s="4"/>
      <c r="AJ32" s="4"/>
      <c r="AK32" s="4"/>
      <c r="AL32" s="4"/>
    </row>
    <row r="33" spans="1:38" x14ac:dyDescent="0.2">
      <c r="A33" s="16" t="s">
        <v>133</v>
      </c>
      <c r="B33" s="16">
        <v>60</v>
      </c>
      <c r="C33" s="16">
        <v>53</v>
      </c>
      <c r="D33" s="16">
        <v>53</v>
      </c>
      <c r="E33" s="16">
        <v>53</v>
      </c>
      <c r="F33" s="16">
        <v>52</v>
      </c>
      <c r="G33" s="16">
        <v>52</v>
      </c>
      <c r="H33" s="16">
        <v>52</v>
      </c>
      <c r="I33" s="16">
        <v>51</v>
      </c>
      <c r="J33" s="16"/>
      <c r="K33" s="16"/>
      <c r="L33" s="16"/>
      <c r="M33" s="16"/>
      <c r="N33" s="16"/>
      <c r="O33" s="16"/>
      <c r="P33" s="16"/>
      <c r="Q33" s="32"/>
      <c r="R33" s="73"/>
      <c r="S33" s="76"/>
      <c r="T33" s="76"/>
      <c r="U33" s="76"/>
      <c r="V33" s="76"/>
      <c r="W33" s="4"/>
      <c r="X33" s="4"/>
      <c r="Y33" s="4"/>
      <c r="Z33" s="4"/>
      <c r="AA33" s="79"/>
      <c r="AB33" s="79"/>
      <c r="AC33" s="79"/>
      <c r="AD33" s="79"/>
      <c r="AE33" s="4"/>
      <c r="AF33" s="4"/>
      <c r="AG33" s="4"/>
      <c r="AH33" s="4"/>
      <c r="AI33" s="4"/>
      <c r="AJ33" s="4"/>
      <c r="AK33" s="4"/>
      <c r="AL33" s="4"/>
    </row>
    <row r="34" spans="1:38" x14ac:dyDescent="0.2">
      <c r="A34" s="16" t="s">
        <v>134</v>
      </c>
      <c r="B34" s="16">
        <v>17</v>
      </c>
      <c r="C34" s="16">
        <v>13</v>
      </c>
      <c r="D34" s="16">
        <v>13</v>
      </c>
      <c r="E34" s="16">
        <v>13</v>
      </c>
      <c r="F34" s="16">
        <v>13</v>
      </c>
      <c r="G34" s="16">
        <v>13</v>
      </c>
      <c r="H34" s="16">
        <v>13</v>
      </c>
      <c r="I34" s="16">
        <v>13</v>
      </c>
      <c r="J34" s="16"/>
      <c r="K34" s="16"/>
      <c r="L34" s="16"/>
      <c r="M34" s="16"/>
      <c r="N34" s="16"/>
      <c r="O34" s="16"/>
      <c r="P34" s="16"/>
      <c r="Q34" s="32"/>
      <c r="R34" s="73"/>
      <c r="S34" s="76"/>
      <c r="T34" s="76"/>
      <c r="U34" s="76"/>
      <c r="V34" s="76"/>
      <c r="W34" s="4"/>
      <c r="X34" s="4"/>
      <c r="Y34" s="4"/>
      <c r="Z34" s="4"/>
      <c r="AA34" s="79"/>
      <c r="AB34" s="79"/>
      <c r="AC34" s="79"/>
      <c r="AD34" s="79"/>
      <c r="AE34" s="4"/>
      <c r="AF34" s="4"/>
      <c r="AG34" s="4"/>
      <c r="AH34" s="4"/>
      <c r="AI34" s="4"/>
      <c r="AJ34" s="4"/>
      <c r="AK34" s="4"/>
      <c r="AL34" s="4"/>
    </row>
    <row r="35" spans="1:38" x14ac:dyDescent="0.2">
      <c r="A35" s="16" t="s">
        <v>135</v>
      </c>
      <c r="B35" s="16">
        <v>7</v>
      </c>
      <c r="C35" s="16">
        <v>7</v>
      </c>
      <c r="D35" s="16">
        <v>7</v>
      </c>
      <c r="E35" s="16">
        <v>7</v>
      </c>
      <c r="F35" s="16">
        <v>7</v>
      </c>
      <c r="G35" s="16">
        <v>7</v>
      </c>
      <c r="H35" s="16">
        <v>8</v>
      </c>
      <c r="I35" s="16">
        <v>8</v>
      </c>
      <c r="J35" s="16"/>
      <c r="K35" s="16"/>
      <c r="L35" s="16"/>
      <c r="M35" s="16"/>
      <c r="N35" s="16"/>
      <c r="O35" s="16"/>
      <c r="P35" s="16"/>
      <c r="Q35" s="32"/>
      <c r="R35" s="73"/>
      <c r="S35" s="76"/>
      <c r="T35" s="76"/>
      <c r="U35" s="76"/>
      <c r="V35" s="76"/>
      <c r="W35" s="4"/>
      <c r="X35" s="4"/>
      <c r="Y35" s="4"/>
      <c r="Z35" s="4"/>
      <c r="AA35" s="79"/>
      <c r="AB35" s="79"/>
      <c r="AC35" s="79"/>
      <c r="AD35" s="79"/>
      <c r="AE35" s="4"/>
      <c r="AF35" s="4"/>
      <c r="AG35" s="4"/>
      <c r="AH35" s="4"/>
      <c r="AI35" s="4"/>
      <c r="AJ35" s="4"/>
      <c r="AK35" s="4"/>
      <c r="AL35" s="4"/>
    </row>
    <row r="36" spans="1:38" x14ac:dyDescent="0.2">
      <c r="A36" s="16" t="s">
        <v>136</v>
      </c>
      <c r="B36" s="16">
        <v>78</v>
      </c>
      <c r="C36" s="16">
        <v>74</v>
      </c>
      <c r="D36" s="16">
        <v>73</v>
      </c>
      <c r="E36" s="16">
        <v>73</v>
      </c>
      <c r="F36" s="16">
        <v>75</v>
      </c>
      <c r="G36" s="10">
        <v>75</v>
      </c>
      <c r="H36" s="10">
        <v>75</v>
      </c>
      <c r="I36" s="10">
        <v>76</v>
      </c>
      <c r="J36" s="10"/>
      <c r="K36" s="10"/>
      <c r="L36" s="10"/>
      <c r="M36" s="10"/>
      <c r="N36" s="10"/>
      <c r="O36" s="10"/>
      <c r="P36" s="11"/>
      <c r="Q36" s="33"/>
      <c r="R36" s="74"/>
      <c r="S36" s="77"/>
      <c r="T36" s="77"/>
      <c r="U36" s="77"/>
      <c r="V36" s="77"/>
      <c r="W36" s="5"/>
      <c r="X36" s="5"/>
      <c r="Y36" s="6"/>
      <c r="Z36" s="4"/>
      <c r="AA36" s="79"/>
      <c r="AB36" s="79"/>
      <c r="AC36" s="79"/>
      <c r="AD36" s="79"/>
      <c r="AE36" s="4"/>
      <c r="AF36" s="4"/>
      <c r="AG36" s="4"/>
      <c r="AH36" s="4"/>
      <c r="AI36" s="4"/>
      <c r="AJ36" s="4"/>
      <c r="AK36" s="4"/>
      <c r="AL36" s="4"/>
    </row>
    <row r="37" spans="1:38" x14ac:dyDescent="0.2">
      <c r="A37" s="17" t="s">
        <v>137</v>
      </c>
      <c r="B37" s="18">
        <v>2239</v>
      </c>
      <c r="C37" s="18">
        <v>2144</v>
      </c>
      <c r="D37" s="18">
        <v>2143</v>
      </c>
      <c r="E37" s="18">
        <v>2144</v>
      </c>
      <c r="F37" s="18">
        <v>2147</v>
      </c>
      <c r="G37" s="19">
        <v>2146</v>
      </c>
      <c r="H37" s="16">
        <v>2144</v>
      </c>
      <c r="I37" s="16">
        <v>2141</v>
      </c>
      <c r="J37" s="16"/>
      <c r="K37" s="16"/>
      <c r="L37" s="16"/>
      <c r="M37" s="16"/>
      <c r="N37" s="16"/>
      <c r="O37" s="16"/>
      <c r="P37" s="16"/>
      <c r="Q37" s="32"/>
      <c r="R37" s="73"/>
      <c r="S37" s="76"/>
      <c r="T37" s="76"/>
      <c r="U37" s="76"/>
      <c r="V37" s="76"/>
      <c r="W37" s="4"/>
      <c r="X37" s="4"/>
      <c r="Y37" s="4"/>
      <c r="Z37" s="4"/>
      <c r="AA37" s="79"/>
      <c r="AB37" s="79"/>
      <c r="AC37" s="79"/>
      <c r="AD37" s="79"/>
      <c r="AE37" s="4"/>
      <c r="AF37" s="4"/>
      <c r="AG37" s="4"/>
      <c r="AH37" s="4"/>
      <c r="AI37" s="4"/>
      <c r="AJ37" s="4"/>
      <c r="AK37" s="4"/>
      <c r="AL37" s="4"/>
    </row>
    <row r="39" spans="1:38" ht="22" x14ac:dyDescent="0.3">
      <c r="A39" s="54" t="s">
        <v>138</v>
      </c>
    </row>
    <row r="40" spans="1:38" x14ac:dyDescent="0.2">
      <c r="A40" s="12" t="s">
        <v>101</v>
      </c>
      <c r="B40" s="13" t="inlineStr">
        <is>
          <t>06/26/2026</t>
        </is>
      </c>
      <c r="C40" s="13" t="inlineStr">
        <is>
          <t>07/10/2026</t>
        </is>
      </c>
      <c r="D40" s="13" t="inlineStr">
        <is>
          <t>07/17/2026</t>
        </is>
      </c>
      <c r="E40" s="13" t="inlineStr">
        <is>
          <t>07/24/2026</t>
        </is>
      </c>
      <c r="F40" s="13" t="inlineStr">
        <is>
          <t>07/31/2026</t>
        </is>
      </c>
      <c r="G40" s="13" t="inlineStr">
        <is>
          <t>08/07/2026</t>
        </is>
      </c>
      <c r="H40" s="13" t="inlineStr">
        <is>
          <t>08/14/2026</t>
        </is>
      </c>
      <c r="I40" s="13" t="inlineStr">
        <is>
          <t>08/21/2026</t>
        </is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80"/>
      <c r="AE40" s="80"/>
      <c r="AF40" s="80"/>
      <c r="AG40" s="80"/>
      <c r="AH40" s="80"/>
      <c r="AI40" s="88"/>
      <c r="AJ40" s="80"/>
      <c r="AK40" s="88"/>
      <c r="AL40" s="88"/>
    </row>
    <row r="41" spans="1:38" x14ac:dyDescent="0.2">
      <c r="A41" s="1" t="s">
        <v>10</v>
      </c>
      <c r="B41" s="2"/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31"/>
      <c r="R41" s="3"/>
      <c r="S41" s="3"/>
      <c r="T41" s="3"/>
      <c r="U41" s="3"/>
      <c r="V41" s="3"/>
      <c r="W41" s="3"/>
      <c r="X41" s="78"/>
      <c r="Y41" s="78"/>
      <c r="Z41" s="78"/>
      <c r="AA41" s="78"/>
      <c r="AB41" s="78"/>
      <c r="AC41" s="78"/>
      <c r="AD41" s="83"/>
      <c r="AE41" s="3"/>
      <c r="AF41" s="3"/>
      <c r="AG41" s="78"/>
      <c r="AH41" s="90"/>
      <c r="AI41" s="90"/>
      <c r="AJ41" s="90"/>
      <c r="AK41" s="93"/>
      <c r="AL41" s="93"/>
    </row>
    <row r="43" spans="1:38" x14ac:dyDescent="0.2">
      <c r="A43" s="12" t="s">
        <v>126</v>
      </c>
      <c r="B43" s="13" t="inlineStr">
        <is>
          <t>06/26/2026</t>
        </is>
      </c>
      <c r="C43" s="13" t="inlineStr">
        <is>
          <t>07/10/2026</t>
        </is>
      </c>
      <c r="D43" s="13" t="inlineStr">
        <is>
          <t>07/17/2026</t>
        </is>
      </c>
      <c r="E43" s="13" t="inlineStr">
        <is>
          <t>07/24/2026</t>
        </is>
      </c>
      <c r="F43" s="13" t="inlineStr">
        <is>
          <t>07/31/2026</t>
        </is>
      </c>
      <c r="G43" s="13" t="inlineStr">
        <is>
          <t>08/07/2026</t>
        </is>
      </c>
      <c r="H43" s="13" t="inlineStr">
        <is>
          <t>08/14/2026</t>
        </is>
      </c>
      <c r="I43" s="13" t="inlineStr">
        <is>
          <t>08/21/2026</t>
        </is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80"/>
      <c r="AE43" s="80"/>
      <c r="AF43" s="80"/>
      <c r="AG43" s="80"/>
      <c r="AH43" s="80"/>
      <c r="AI43" s="88"/>
      <c r="AJ43" s="80"/>
      <c r="AK43" s="88"/>
      <c r="AL43" s="88"/>
    </row>
    <row r="44" spans="1:38" x14ac:dyDescent="0.2">
      <c r="A44" s="1" t="s">
        <v>127</v>
      </c>
      <c r="B44" s="4"/>
      <c r="C44" s="4"/>
      <c r="D44" s="4"/>
      <c r="E44" s="4"/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x14ac:dyDescent="0.2">
      <c r="A45" s="1" t="s">
        <v>128</v>
      </c>
      <c r="B45" s="4"/>
      <c r="C45" s="4"/>
      <c r="D45" s="4"/>
      <c r="E45" s="4"/>
      <c r="F45" s="2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x14ac:dyDescent="0.2">
      <c r="A46" s="4" t="s">
        <v>129</v>
      </c>
      <c r="B46" s="21"/>
      <c r="C46" s="21"/>
      <c r="D46" s="21"/>
      <c r="E46" s="21"/>
      <c r="F46" s="2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x14ac:dyDescent="0.2">
      <c r="A47" s="1" t="s">
        <v>130</v>
      </c>
      <c r="B47" s="4"/>
      <c r="C47" s="4"/>
      <c r="D47" s="4"/>
      <c r="E47" s="4"/>
      <c r="F47" s="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2">
      <c r="A48" s="4" t="s">
        <v>131</v>
      </c>
      <c r="B48" s="4"/>
      <c r="C48" s="4"/>
      <c r="D48" s="4"/>
      <c r="E48" s="4"/>
      <c r="F48" s="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x14ac:dyDescent="0.2">
      <c r="A49" s="4" t="s">
        <v>132</v>
      </c>
      <c r="B49" s="4"/>
      <c r="C49" s="4"/>
      <c r="D49" s="4"/>
      <c r="E49" s="4"/>
      <c r="F49" s="2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x14ac:dyDescent="0.2">
      <c r="A50" s="4" t="s">
        <v>133</v>
      </c>
      <c r="B50" s="4"/>
      <c r="C50" s="4"/>
      <c r="D50" s="4"/>
      <c r="E50" s="4"/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x14ac:dyDescent="0.2">
      <c r="A51" s="4" t="s">
        <v>134</v>
      </c>
      <c r="B51" s="4"/>
      <c r="C51" s="4"/>
      <c r="D51" s="4"/>
      <c r="E51" s="4"/>
      <c r="F51" s="2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x14ac:dyDescent="0.2">
      <c r="A52" s="4" t="s">
        <v>135</v>
      </c>
      <c r="B52" s="21"/>
      <c r="C52" s="21"/>
      <c r="D52" s="21"/>
      <c r="E52" s="21"/>
      <c r="F52" s="2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x14ac:dyDescent="0.2">
      <c r="A53" s="4" t="s">
        <v>136</v>
      </c>
      <c r="B53" s="21"/>
      <c r="C53" s="21"/>
      <c r="D53" s="21"/>
      <c r="E53" s="21"/>
      <c r="F53" s="21"/>
      <c r="G53" s="22"/>
      <c r="H53" s="22"/>
      <c r="I53" s="22"/>
      <c r="J53" s="22"/>
      <c r="K53" s="22"/>
      <c r="L53" s="22"/>
      <c r="M53" s="22"/>
      <c r="N53" s="22"/>
      <c r="O53" s="22"/>
      <c r="P53" s="23"/>
      <c r="Q53" s="9"/>
      <c r="R53" s="9"/>
      <c r="S53" s="9"/>
      <c r="T53" s="9"/>
      <c r="U53" s="9"/>
      <c r="V53" s="9"/>
      <c r="W53" s="9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x14ac:dyDescent="0.2">
      <c r="A54" s="7" t="s">
        <v>137</v>
      </c>
      <c r="B54" s="8"/>
      <c r="C54" s="8"/>
      <c r="D54" s="8"/>
      <c r="E54" s="8"/>
      <c r="F54" s="8"/>
      <c r="G54" s="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6" spans="1:38" ht="22" x14ac:dyDescent="0.3">
      <c r="A56" s="54" t="s">
        <v>140</v>
      </c>
    </row>
    <row r="57" spans="1:38" x14ac:dyDescent="0.2">
      <c r="A57" s="12" t="s">
        <v>101</v>
      </c>
      <c r="B57" s="13" t="inlineStr">
        <is>
          <t>06/26/2026</t>
        </is>
      </c>
      <c r="C57" s="13" t="inlineStr">
        <is>
          <t>07/10/2026</t>
        </is>
      </c>
      <c r="D57" s="13" t="inlineStr">
        <is>
          <t>07/17/2026</t>
        </is>
      </c>
      <c r="E57" s="13" t="inlineStr">
        <is>
          <t>07/24/2026</t>
        </is>
      </c>
      <c r="F57" s="13" t="inlineStr">
        <is>
          <t>07/31/2026</t>
        </is>
      </c>
      <c r="G57" s="13" t="inlineStr">
        <is>
          <t>08/07/2026</t>
        </is>
      </c>
      <c r="H57" s="13" t="inlineStr">
        <is>
          <t>08/14/2026</t>
        </is>
      </c>
      <c r="I57" s="13" t="inlineStr">
        <is>
          <t>08/21/2026</t>
        </is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80"/>
      <c r="AE57" s="80"/>
      <c r="AF57" s="80"/>
      <c r="AG57" s="80"/>
      <c r="AH57" s="88"/>
      <c r="AI57" s="88"/>
      <c r="AJ57" s="80"/>
      <c r="AK57" s="88"/>
      <c r="AL57" s="88"/>
    </row>
    <row r="58" spans="1:38" x14ac:dyDescent="0.2">
      <c r="A58" s="1" t="s">
        <v>10</v>
      </c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78"/>
      <c r="Y58" s="78"/>
      <c r="Z58" s="78"/>
      <c r="AA58" s="78"/>
      <c r="AB58" s="78"/>
      <c r="AC58" s="78"/>
      <c r="AD58" s="78"/>
      <c r="AE58" s="78"/>
      <c r="AF58" s="78"/>
      <c r="AG58" s="87"/>
      <c r="AH58" s="87"/>
      <c r="AI58" s="87"/>
      <c r="AJ58" s="87"/>
      <c r="AK58" s="87"/>
      <c r="AL58" s="87"/>
    </row>
    <row r="60" spans="1:38" x14ac:dyDescent="0.2">
      <c r="A60" s="12" t="s">
        <v>126</v>
      </c>
      <c r="B60" s="13" t="inlineStr">
        <is>
          <t>06/26/2026</t>
        </is>
      </c>
      <c r="C60" s="13" t="inlineStr">
        <is>
          <t>07/10/2026</t>
        </is>
      </c>
      <c r="D60" s="13" t="inlineStr">
        <is>
          <t>07/17/2026</t>
        </is>
      </c>
      <c r="E60" s="13" t="inlineStr">
        <is>
          <t>07/24/2026</t>
        </is>
      </c>
      <c r="F60" s="13" t="inlineStr">
        <is>
          <t>07/31/2026</t>
        </is>
      </c>
      <c r="G60" s="13" t="inlineStr">
        <is>
          <t>08/07/2026</t>
        </is>
      </c>
      <c r="H60" s="13" t="inlineStr">
        <is>
          <t>08/14/2026</t>
        </is>
      </c>
      <c r="I60" s="13" t="inlineStr">
        <is>
          <t>08/21/2026</t>
        </is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80"/>
      <c r="AE60" s="80"/>
      <c r="AF60" s="80"/>
      <c r="AG60" s="80"/>
      <c r="AH60" s="88"/>
      <c r="AI60" s="88"/>
      <c r="AJ60" s="80"/>
      <c r="AK60" s="88"/>
      <c r="AL60" s="88"/>
    </row>
    <row r="61" spans="1:38" x14ac:dyDescent="0.2">
      <c r="A61" s="1" t="s">
        <v>127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x14ac:dyDescent="0.2">
      <c r="A62" s="1" t="s">
        <v>128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32" x14ac:dyDescent="0.2">
      <c r="A63" s="24" t="s">
        <v>129</v>
      </c>
      <c r="B63" s="21"/>
      <c r="C63" s="21"/>
      <c r="D63" s="21"/>
      <c r="E63" s="21"/>
      <c r="F63" s="2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x14ac:dyDescent="0.2">
      <c r="A64" s="1" t="s">
        <v>130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x14ac:dyDescent="0.2">
      <c r="A65" s="4" t="s">
        <v>131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x14ac:dyDescent="0.2">
      <c r="A66" s="4" t="s">
        <v>132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x14ac:dyDescent="0.2">
      <c r="A67" s="4" t="s">
        <v>133</v>
      </c>
      <c r="B67" s="21"/>
      <c r="C67" s="21"/>
      <c r="D67" s="21"/>
      <c r="E67" s="21"/>
      <c r="F67" s="21"/>
      <c r="G67" s="9"/>
      <c r="H67" s="9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x14ac:dyDescent="0.2">
      <c r="A68" s="4" t="s">
        <v>134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x14ac:dyDescent="0.2">
      <c r="A69" s="4" t="s">
        <v>135</v>
      </c>
      <c r="B69" s="21"/>
      <c r="C69" s="21"/>
      <c r="D69" s="21"/>
      <c r="E69" s="21"/>
      <c r="F69" s="2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x14ac:dyDescent="0.2">
      <c r="A70" s="4" t="s">
        <v>136</v>
      </c>
      <c r="B70" s="4"/>
      <c r="C70" s="4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6"/>
      <c r="Q70" s="4"/>
      <c r="R70" s="4"/>
      <c r="S70" s="4"/>
      <c r="T70" s="4"/>
      <c r="U70" s="4"/>
      <c r="V70" s="4"/>
      <c r="W70" s="4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x14ac:dyDescent="0.2">
      <c r="A71" s="7" t="s">
        <v>137</v>
      </c>
      <c r="B71" s="8"/>
      <c r="C71" s="8"/>
      <c r="D71" s="8"/>
      <c r="E71" s="8"/>
      <c r="F71" s="8"/>
      <c r="G71" s="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3" spans="1:38" ht="22" x14ac:dyDescent="0.3">
      <c r="A73" s="54" t="s">
        <v>141</v>
      </c>
    </row>
    <row r="74" spans="1:38" x14ac:dyDescent="0.2">
      <c r="A74" s="12" t="s">
        <v>101</v>
      </c>
      <c r="B74" s="13" t="inlineStr">
        <is>
          <t>06/26/2026</t>
        </is>
      </c>
      <c r="C74" s="13" t="inlineStr">
        <is>
          <t>07/10/2026</t>
        </is>
      </c>
      <c r="D74" s="13" t="inlineStr">
        <is>
          <t>07/17/2026</t>
        </is>
      </c>
      <c r="E74" s="13" t="inlineStr">
        <is>
          <t>07/24/2026</t>
        </is>
      </c>
      <c r="F74" s="13" t="inlineStr">
        <is>
          <t>07/31/2026</t>
        </is>
      </c>
      <c r="G74" s="13" t="inlineStr">
        <is>
          <t>08/07/2026</t>
        </is>
      </c>
      <c r="H74" s="13" t="inlineStr">
        <is>
          <t>08/14/2026</t>
        </is>
      </c>
      <c r="I74" s="13" t="inlineStr">
        <is>
          <t>08/21/2026</t>
        </is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80"/>
      <c r="AE74" s="80"/>
      <c r="AF74" s="80"/>
      <c r="AG74" s="80"/>
      <c r="AH74" s="88"/>
      <c r="AI74" s="88"/>
      <c r="AJ74" s="80"/>
      <c r="AK74" s="88"/>
      <c r="AL74" s="88"/>
    </row>
    <row r="75" spans="1:38" x14ac:dyDescent="0.2">
      <c r="A75" s="1" t="s">
        <v>10</v>
      </c>
      <c r="B75" s="2"/>
      <c r="C75" s="2"/>
      <c r="D75" s="2"/>
      <c r="E75" s="25"/>
      <c r="F75" s="25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85"/>
      <c r="AF75" s="85"/>
      <c r="AG75" s="85"/>
      <c r="AH75" s="85"/>
      <c r="AI75" s="85"/>
      <c r="AJ75" s="85"/>
      <c r="AK75" s="85"/>
      <c r="AL75" s="85"/>
    </row>
    <row r="77" spans="1:38" x14ac:dyDescent="0.2">
      <c r="A77" s="12" t="s">
        <v>126</v>
      </c>
      <c r="B77" s="13" t="inlineStr">
        <is>
          <t>06/26/2026</t>
        </is>
      </c>
      <c r="C77" s="13" t="inlineStr">
        <is>
          <t>07/10/2026</t>
        </is>
      </c>
      <c r="D77" s="13" t="inlineStr">
        <is>
          <t>07/17/2026</t>
        </is>
      </c>
      <c r="E77" s="13" t="inlineStr">
        <is>
          <t>07/24/2026</t>
        </is>
      </c>
      <c r="F77" s="13" t="inlineStr">
        <is>
          <t>07/31/2026</t>
        </is>
      </c>
      <c r="G77" s="13" t="inlineStr">
        <is>
          <t>08/07/2026</t>
        </is>
      </c>
      <c r="H77" s="13" t="inlineStr">
        <is>
          <t>08/14/2026</t>
        </is>
      </c>
      <c r="I77" s="13" t="inlineStr">
        <is>
          <t>08/21/2026</t>
        </is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80"/>
      <c r="AE77" s="80"/>
      <c r="AF77" s="80"/>
      <c r="AG77" s="80"/>
      <c r="AH77" s="88"/>
      <c r="AI77" s="88"/>
      <c r="AJ77" s="80"/>
      <c r="AK77" s="88"/>
      <c r="AL77" s="88"/>
    </row>
    <row r="78" spans="1:38" x14ac:dyDescent="0.2">
      <c r="A78" s="1" t="s">
        <v>127</v>
      </c>
      <c r="B78" s="4"/>
      <c r="C78" s="4"/>
      <c r="D78" s="4"/>
      <c r="E78" s="20"/>
      <c r="F78" s="2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x14ac:dyDescent="0.2">
      <c r="A79" s="1" t="s">
        <v>128</v>
      </c>
      <c r="B79" s="4"/>
      <c r="C79" s="4"/>
      <c r="D79" s="4"/>
      <c r="E79" s="20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ht="32" x14ac:dyDescent="0.2">
      <c r="A80" s="24" t="s">
        <v>129</v>
      </c>
      <c r="B80" s="21"/>
      <c r="C80" s="21"/>
      <c r="D80" s="21"/>
      <c r="E80" s="21"/>
      <c r="F80" s="21"/>
      <c r="G80" s="9"/>
      <c r="H80" s="9"/>
      <c r="I80" s="9"/>
      <c r="J80" s="9"/>
      <c r="K80" s="9"/>
      <c r="L80" s="9"/>
      <c r="M80" s="9"/>
      <c r="N80" s="4"/>
      <c r="O80" s="9"/>
      <c r="P80" s="9"/>
      <c r="Q80" s="9"/>
      <c r="R80" s="9"/>
      <c r="S80" s="9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x14ac:dyDescent="0.2">
      <c r="A81" s="1" t="s">
        <v>130</v>
      </c>
      <c r="B81" s="4"/>
      <c r="C81" s="4"/>
      <c r="D81" s="4"/>
      <c r="E81" s="20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x14ac:dyDescent="0.2">
      <c r="A82" s="4" t="s">
        <v>131</v>
      </c>
      <c r="B82" s="4"/>
      <c r="C82" s="4"/>
      <c r="D82" s="4"/>
      <c r="E82" s="20"/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x14ac:dyDescent="0.2">
      <c r="A83" s="4" t="s">
        <v>132</v>
      </c>
      <c r="B83" s="21"/>
      <c r="C83" s="21"/>
      <c r="D83" s="21"/>
      <c r="E83" s="21"/>
      <c r="F83" s="21"/>
      <c r="G83" s="9"/>
      <c r="H83" s="9"/>
      <c r="I83" s="9"/>
      <c r="J83" s="9"/>
      <c r="K83" s="9"/>
      <c r="L83" s="9"/>
      <c r="M83" s="9"/>
      <c r="N83" s="9"/>
      <c r="O83" s="4"/>
      <c r="P83" s="4"/>
      <c r="Q83" s="4"/>
      <c r="R83" s="4"/>
      <c r="S83" s="4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x14ac:dyDescent="0.2">
      <c r="A84" s="4" t="s">
        <v>133</v>
      </c>
      <c r="B84" s="21"/>
      <c r="C84" s="21"/>
      <c r="D84" s="21"/>
      <c r="E84" s="21"/>
      <c r="F84" s="2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x14ac:dyDescent="0.2">
      <c r="A85" s="4" t="s">
        <v>134</v>
      </c>
      <c r="B85" s="21"/>
      <c r="C85" s="21"/>
      <c r="D85" s="21"/>
      <c r="E85" s="21"/>
      <c r="F85" s="2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x14ac:dyDescent="0.2">
      <c r="A86" s="4" t="s">
        <v>135</v>
      </c>
      <c r="B86" s="21"/>
      <c r="C86" s="21"/>
      <c r="D86" s="21"/>
      <c r="E86" s="21"/>
      <c r="F86" s="2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x14ac:dyDescent="0.2">
      <c r="A87" s="26" t="s">
        <v>136</v>
      </c>
      <c r="B87" s="26"/>
      <c r="C87" s="4"/>
      <c r="D87" s="4"/>
      <c r="E87" s="27"/>
      <c r="F87" s="27"/>
      <c r="G87" s="5"/>
      <c r="H87" s="5"/>
      <c r="I87" s="5"/>
      <c r="J87" s="5"/>
      <c r="K87" s="5"/>
      <c r="L87" s="5"/>
      <c r="M87" s="5"/>
      <c r="N87" s="5"/>
      <c r="O87" s="5"/>
      <c r="P87" s="6"/>
      <c r="Q87" s="4"/>
      <c r="R87" s="4"/>
      <c r="S87" s="4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x14ac:dyDescent="0.2">
      <c r="A88" s="1" t="s">
        <v>137</v>
      </c>
      <c r="B88" s="4"/>
      <c r="C88" s="8"/>
      <c r="D88" s="8"/>
      <c r="E88" s="20"/>
      <c r="F88" s="20"/>
      <c r="G88" s="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90" spans="1:38" ht="22" x14ac:dyDescent="0.3">
      <c r="A90" s="54" t="s">
        <v>142</v>
      </c>
    </row>
    <row r="91" spans="1:38" x14ac:dyDescent="0.2">
      <c r="A91" s="12" t="s">
        <v>101</v>
      </c>
      <c r="B91" s="13" t="inlineStr">
        <is>
          <t>06/26/2026</t>
        </is>
      </c>
      <c r="C91" s="13" t="inlineStr">
        <is>
          <t>07/10/2026</t>
        </is>
      </c>
      <c r="D91" s="13" t="inlineStr">
        <is>
          <t>07/17/2026</t>
        </is>
      </c>
      <c r="E91" s="13" t="inlineStr">
        <is>
          <t>07/24/2026</t>
        </is>
      </c>
      <c r="F91" s="13" t="inlineStr">
        <is>
          <t>07/31/2026</t>
        </is>
      </c>
      <c r="G91" s="13" t="inlineStr">
        <is>
          <t>08/07/2026</t>
        </is>
      </c>
      <c r="H91" s="13" t="inlineStr">
        <is>
          <t>08/14/2026</t>
        </is>
      </c>
      <c r="I91" s="13" t="inlineStr">
        <is>
          <t>08/21/2026</t>
        </is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80"/>
      <c r="AE91" s="80"/>
      <c r="AF91" s="80"/>
      <c r="AG91" s="88"/>
      <c r="AH91" s="88"/>
      <c r="AI91" s="88"/>
      <c r="AJ91" s="88"/>
      <c r="AK91" s="88"/>
      <c r="AL91" s="88"/>
    </row>
    <row r="92" spans="1:38" x14ac:dyDescent="0.2">
      <c r="A92" s="1" t="s">
        <v>10</v>
      </c>
      <c r="B92" s="2">
        <v>0.1022</v>
      </c>
      <c r="C92" s="2">
        <v>0.0649</v>
      </c>
      <c r="D92" s="2">
        <v>0.0687</v>
      </c>
      <c r="E92" s="25">
        <v>0.0687</v>
      </c>
      <c r="F92" s="25">
        <v>0.0684</v>
      </c>
      <c r="G92" s="3">
        <v>0.0722</v>
      </c>
      <c r="H92" s="2">
        <v>0.1027</v>
      </c>
      <c r="I92" s="2">
        <v>0.1103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85"/>
      <c r="AF92" s="85"/>
      <c r="AG92" s="85"/>
      <c r="AH92" s="85"/>
      <c r="AI92" s="85"/>
      <c r="AJ92" s="85"/>
      <c r="AK92" s="94"/>
      <c r="AL92" s="85"/>
    </row>
    <row r="94" spans="1:38" x14ac:dyDescent="0.2">
      <c r="A94" s="12" t="s">
        <v>126</v>
      </c>
      <c r="B94" s="13" t="inlineStr">
        <is>
          <t>06/26/2026</t>
        </is>
      </c>
      <c r="C94" s="13" t="inlineStr">
        <is>
          <t>07/10/2026</t>
        </is>
      </c>
      <c r="D94" s="13" t="inlineStr">
        <is>
          <t>07/17/2026</t>
        </is>
      </c>
      <c r="E94" s="13" t="inlineStr">
        <is>
          <t>07/24/2026</t>
        </is>
      </c>
      <c r="F94" s="13" t="inlineStr">
        <is>
          <t>07/31/2026</t>
        </is>
      </c>
      <c r="G94" s="13" t="inlineStr">
        <is>
          <t>08/07/2026</t>
        </is>
      </c>
      <c r="H94" s="13" t="inlineStr">
        <is>
          <t>08/14/2026</t>
        </is>
      </c>
      <c r="I94" s="13" t="inlineStr">
        <is>
          <t>08/21/2026</t>
        </is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80"/>
      <c r="AE94" s="80"/>
      <c r="AF94" s="80"/>
      <c r="AG94" s="88"/>
      <c r="AH94" s="88"/>
      <c r="AI94" s="88"/>
      <c r="AJ94" s="88"/>
      <c r="AK94" s="88"/>
      <c r="AL94" s="88"/>
    </row>
    <row r="95" spans="1:38" x14ac:dyDescent="0.2">
      <c r="A95" s="1" t="s">
        <v>127</v>
      </c>
      <c r="B95" s="4">
        <v>28</v>
      </c>
      <c r="C95" s="4">
        <v>17</v>
      </c>
      <c r="D95" s="4">
        <v>18</v>
      </c>
      <c r="E95" s="4">
        <v>18</v>
      </c>
      <c r="F95" s="20">
        <v>18</v>
      </c>
      <c r="G95" s="4">
        <v>19</v>
      </c>
      <c r="H95" s="4">
        <v>27</v>
      </c>
      <c r="I95" s="4">
        <v>29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x14ac:dyDescent="0.2">
      <c r="A96" s="1" t="s">
        <v>128</v>
      </c>
      <c r="B96" s="4">
        <v>62</v>
      </c>
      <c r="C96" s="4">
        <v>65</v>
      </c>
      <c r="D96" s="4">
        <v>64</v>
      </c>
      <c r="E96" s="4">
        <v>64</v>
      </c>
      <c r="F96" s="20">
        <v>65</v>
      </c>
      <c r="G96" s="4">
        <v>126</v>
      </c>
      <c r="H96" s="4">
        <v>118</v>
      </c>
      <c r="I96" s="4">
        <v>117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x14ac:dyDescent="0.2">
      <c r="A97" s="4" t="s">
        <v>129</v>
      </c>
      <c r="B97" s="21">
        <v>0</v>
      </c>
      <c r="C97" s="21">
        <v>0</v>
      </c>
      <c r="D97" s="21">
        <v>0</v>
      </c>
      <c r="E97" s="21">
        <v>0</v>
      </c>
      <c r="F97" s="21">
        <v>0</v>
      </c>
      <c r="G97" s="9">
        <v>0</v>
      </c>
      <c r="H97" s="9">
        <v>0</v>
      </c>
      <c r="I97" s="9">
        <v>0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x14ac:dyDescent="0.2">
      <c r="A98" s="1" t="s">
        <v>130</v>
      </c>
      <c r="B98" s="4">
        <v>184</v>
      </c>
      <c r="C98" s="4">
        <v>180</v>
      </c>
      <c r="D98" s="4">
        <v>180</v>
      </c>
      <c r="E98" s="4">
        <v>180</v>
      </c>
      <c r="F98" s="20">
        <v>180</v>
      </c>
      <c r="G98" s="4">
        <v>118</v>
      </c>
      <c r="H98" s="4">
        <v>118</v>
      </c>
      <c r="I98" s="4">
        <v>117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x14ac:dyDescent="0.2">
      <c r="A99" s="4" t="s">
        <v>131</v>
      </c>
      <c r="B99" s="4">
        <v>3</v>
      </c>
      <c r="C99" s="4">
        <v>3</v>
      </c>
      <c r="D99" s="4">
        <v>3</v>
      </c>
      <c r="E99" s="4">
        <v>3</v>
      </c>
      <c r="F99" s="20">
        <v>3</v>
      </c>
      <c r="G99" s="4">
        <v>3</v>
      </c>
      <c r="H99" s="4">
        <v>3</v>
      </c>
      <c r="I99" s="4">
        <v>3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x14ac:dyDescent="0.2">
      <c r="A100" s="4" t="s">
        <v>132</v>
      </c>
      <c r="B100" s="4">
        <v>0</v>
      </c>
      <c r="C100" s="4">
        <v>0</v>
      </c>
      <c r="D100" s="4">
        <v>0</v>
      </c>
      <c r="E100" s="4">
        <v>0</v>
      </c>
      <c r="F100" s="20">
        <v>0</v>
      </c>
      <c r="G100" s="4">
        <v>0</v>
      </c>
      <c r="H100" s="4">
        <v>0</v>
      </c>
      <c r="I100" s="4">
        <v>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x14ac:dyDescent="0.2">
      <c r="A101" s="4" t="s">
        <v>133</v>
      </c>
      <c r="B101" s="4">
        <v>8</v>
      </c>
      <c r="C101" s="4">
        <v>8</v>
      </c>
      <c r="D101" s="4">
        <v>8</v>
      </c>
      <c r="E101" s="4">
        <v>8</v>
      </c>
      <c r="F101" s="20">
        <v>8</v>
      </c>
      <c r="G101" s="4">
        <v>8</v>
      </c>
      <c r="H101" s="4">
        <v>8</v>
      </c>
      <c r="I101" s="4">
        <v>8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x14ac:dyDescent="0.2">
      <c r="A102" s="4" t="s">
        <v>134</v>
      </c>
      <c r="B102" s="4">
        <v>2</v>
      </c>
      <c r="C102" s="4">
        <v>1</v>
      </c>
      <c r="D102" s="4">
        <v>1</v>
      </c>
      <c r="E102" s="4">
        <v>1</v>
      </c>
      <c r="F102" s="21">
        <v>1</v>
      </c>
      <c r="G102" s="9">
        <v>1</v>
      </c>
      <c r="H102" s="9">
        <v>1</v>
      </c>
      <c r="I102" s="9">
        <v>1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 spans="1:38" x14ac:dyDescent="0.2">
      <c r="A103" s="4" t="s">
        <v>135</v>
      </c>
      <c r="B103" s="21">
        <v>3</v>
      </c>
      <c r="C103" s="21">
        <v>3</v>
      </c>
      <c r="D103" s="21">
        <v>3</v>
      </c>
      <c r="E103" s="21">
        <v>3</v>
      </c>
      <c r="F103" s="21">
        <v>3</v>
      </c>
      <c r="G103" s="9">
        <v>3</v>
      </c>
      <c r="H103" s="9">
        <v>3</v>
      </c>
      <c r="I103" s="9">
        <v>3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</row>
    <row r="104" spans="1:38" x14ac:dyDescent="0.2">
      <c r="A104" s="4" t="s">
        <v>136</v>
      </c>
      <c r="B104" s="21">
        <v>10</v>
      </c>
      <c r="C104" s="21">
        <v>9</v>
      </c>
      <c r="D104" s="21">
        <v>9</v>
      </c>
      <c r="E104" s="21">
        <v>9</v>
      </c>
      <c r="F104" s="21">
        <v>9</v>
      </c>
      <c r="G104" s="22">
        <v>9</v>
      </c>
      <c r="H104" s="22">
        <v>9</v>
      </c>
      <c r="I104" s="22">
        <v>9</v>
      </c>
      <c r="J104" s="22"/>
      <c r="K104" s="22"/>
      <c r="L104" s="22"/>
      <c r="M104" s="22"/>
      <c r="N104" s="22"/>
      <c r="O104" s="22"/>
      <c r="P104" s="23"/>
      <c r="Q104" s="9"/>
      <c r="R104" s="9"/>
      <c r="S104" s="9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x14ac:dyDescent="0.2">
      <c r="A105" s="7" t="s">
        <v>137</v>
      </c>
      <c r="B105" s="8">
        <v>300</v>
      </c>
      <c r="C105" s="8">
        <v>286</v>
      </c>
      <c r="D105" s="8">
        <v>286</v>
      </c>
      <c r="E105" s="8">
        <v>286</v>
      </c>
      <c r="F105" s="8">
        <v>287</v>
      </c>
      <c r="G105" s="9">
        <v>287</v>
      </c>
      <c r="H105" s="4">
        <v>287</v>
      </c>
      <c r="I105" s="4">
        <v>287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7" spans="1:38" ht="22" x14ac:dyDescent="0.3">
      <c r="A107" s="54" t="s">
        <v>143</v>
      </c>
    </row>
    <row r="108" spans="1:38" x14ac:dyDescent="0.2">
      <c r="A108" s="12" t="s">
        <v>101</v>
      </c>
      <c r="B108" s="13" t="inlineStr">
        <is>
          <t>06/26/2026</t>
        </is>
      </c>
      <c r="C108" s="13" t="inlineStr">
        <is>
          <t>07/10/2026</t>
        </is>
      </c>
      <c r="D108" s="13" t="inlineStr">
        <is>
          <t>07/17/2026</t>
        </is>
      </c>
      <c r="E108" s="13" t="inlineStr">
        <is>
          <t>07/24/2026</t>
        </is>
      </c>
      <c r="F108" s="13" t="inlineStr">
        <is>
          <t>07/31/2026</t>
        </is>
      </c>
      <c r="G108" s="13" t="inlineStr">
        <is>
          <t>08/07/2026</t>
        </is>
      </c>
      <c r="H108" s="13" t="inlineStr">
        <is>
          <t>08/14/2026</t>
        </is>
      </c>
      <c r="I108" s="13" t="inlineStr">
        <is>
          <t>08/21/2026</t>
        </is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80"/>
      <c r="AE108" s="84"/>
      <c r="AF108" s="80"/>
      <c r="AG108" s="88"/>
      <c r="AH108" s="88"/>
      <c r="AI108" s="88"/>
      <c r="AJ108" s="88"/>
      <c r="AK108" s="88"/>
      <c r="AL108" s="88"/>
    </row>
    <row r="109" spans="1:38" x14ac:dyDescent="0.2">
      <c r="A109" s="1" t="s">
        <v>10</v>
      </c>
      <c r="B109" s="2"/>
      <c r="C109" s="2"/>
      <c r="D109" s="2"/>
      <c r="E109" s="25"/>
      <c r="F109" s="25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86"/>
      <c r="AF109" s="86"/>
      <c r="AG109" s="86"/>
      <c r="AH109" s="86"/>
      <c r="AI109" s="86"/>
      <c r="AJ109" s="86"/>
      <c r="AK109" s="86"/>
      <c r="AL109" s="86"/>
    </row>
    <row r="111" spans="1:38" x14ac:dyDescent="0.2">
      <c r="A111" s="12" t="s">
        <v>126</v>
      </c>
      <c r="B111" s="13" t="inlineStr">
        <is>
          <t>06/26/2026</t>
        </is>
      </c>
      <c r="C111" s="13" t="inlineStr">
        <is>
          <t>07/10/2026</t>
        </is>
      </c>
      <c r="D111" s="13" t="inlineStr">
        <is>
          <t>07/17/2026</t>
        </is>
      </c>
      <c r="E111" s="13" t="inlineStr">
        <is>
          <t>07/24/2026</t>
        </is>
      </c>
      <c r="F111" s="13" t="inlineStr">
        <is>
          <t>07/31/2026</t>
        </is>
      </c>
      <c r="G111" s="13" t="inlineStr">
        <is>
          <t>08/07/2026</t>
        </is>
      </c>
      <c r="H111" s="13" t="inlineStr">
        <is>
          <t>08/14/2026</t>
        </is>
      </c>
      <c r="I111" s="13" t="inlineStr">
        <is>
          <t>08/21/2026</t>
        </is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80"/>
      <c r="AE111" s="80"/>
      <c r="AF111" s="80"/>
      <c r="AG111" s="88"/>
      <c r="AH111" s="88"/>
      <c r="AI111" s="88"/>
      <c r="AJ111" s="88"/>
      <c r="AK111" s="88"/>
      <c r="AL111" s="88"/>
    </row>
    <row r="112" spans="1:38" x14ac:dyDescent="0.2">
      <c r="A112" s="1" t="s">
        <v>127</v>
      </c>
      <c r="B112" s="4"/>
      <c r="C112" s="4"/>
      <c r="D112" s="4"/>
      <c r="E112" s="4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</row>
    <row r="113" spans="1:38" x14ac:dyDescent="0.2">
      <c r="A113" s="1" t="s">
        <v>128</v>
      </c>
      <c r="B113" s="4"/>
      <c r="C113" s="4"/>
      <c r="D113" s="4"/>
      <c r="E113" s="4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x14ac:dyDescent="0.2">
      <c r="A114" s="4" t="s">
        <v>129</v>
      </c>
      <c r="B114" s="21"/>
      <c r="C114" s="21"/>
      <c r="D114" s="21"/>
      <c r="E114" s="21"/>
      <c r="F114" s="2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15" spans="1:38" x14ac:dyDescent="0.2">
      <c r="A115" s="1" t="s">
        <v>130</v>
      </c>
      <c r="B115" s="4"/>
      <c r="C115" s="4"/>
      <c r="D115" s="4"/>
      <c r="E115" s="4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x14ac:dyDescent="0.2">
      <c r="A116" s="4" t="s">
        <v>131</v>
      </c>
      <c r="B116" s="4"/>
      <c r="C116" s="4"/>
      <c r="D116" s="4"/>
      <c r="E116" s="4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</row>
    <row r="117" spans="1:38" x14ac:dyDescent="0.2">
      <c r="A117" s="4" t="s">
        <v>132</v>
      </c>
      <c r="B117" s="4"/>
      <c r="C117" s="4"/>
      <c r="D117" s="4"/>
      <c r="E117" s="4"/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</row>
    <row r="118" spans="1:38" x14ac:dyDescent="0.2">
      <c r="A118" s="4" t="s">
        <v>133</v>
      </c>
      <c r="B118" s="4"/>
      <c r="C118" s="4"/>
      <c r="D118" s="4"/>
      <c r="E118" s="4"/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x14ac:dyDescent="0.2">
      <c r="A119" s="4" t="s">
        <v>135</v>
      </c>
      <c r="B119" s="4"/>
      <c r="C119" s="4"/>
      <c r="D119" s="4"/>
      <c r="E119" s="4"/>
      <c r="F119" s="2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x14ac:dyDescent="0.2">
      <c r="A120" s="4" t="s">
        <v>136</v>
      </c>
      <c r="B120" s="21"/>
      <c r="C120" s="21"/>
      <c r="D120" s="21"/>
      <c r="E120" s="21"/>
      <c r="F120" s="2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x14ac:dyDescent="0.2">
      <c r="A121" s="4" t="s">
        <v>134</v>
      </c>
      <c r="B121" s="21"/>
      <c r="C121" s="21"/>
      <c r="D121" s="21"/>
      <c r="E121" s="21"/>
      <c r="F121" s="21"/>
      <c r="G121" s="22"/>
      <c r="H121" s="22"/>
      <c r="I121" s="22"/>
      <c r="J121" s="22"/>
      <c r="K121" s="22"/>
      <c r="L121" s="22"/>
      <c r="M121" s="22"/>
      <c r="N121" s="22"/>
      <c r="O121" s="22"/>
      <c r="P121" s="23"/>
      <c r="Q121" s="9"/>
      <c r="R121" s="9"/>
      <c r="S121" s="9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 spans="1:38" x14ac:dyDescent="0.2">
      <c r="A122" s="7" t="s">
        <v>137</v>
      </c>
      <c r="B122" s="8"/>
      <c r="C122" s="8"/>
      <c r="D122" s="8"/>
      <c r="E122" s="8"/>
      <c r="F122" s="8"/>
      <c r="G122" s="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4" spans="1:38" ht="22" x14ac:dyDescent="0.3">
      <c r="A124" s="54" t="s">
        <v>144</v>
      </c>
    </row>
    <row r="125" spans="1:38" x14ac:dyDescent="0.2">
      <c r="A125" s="12" t="s">
        <v>101</v>
      </c>
      <c r="B125" s="13" t="inlineStr">
        <is>
          <t>06/26/2026</t>
        </is>
      </c>
      <c r="C125" s="13" t="inlineStr">
        <is>
          <t>07/10/2026</t>
        </is>
      </c>
      <c r="D125" s="13" t="inlineStr">
        <is>
          <t>07/17/2026</t>
        </is>
      </c>
      <c r="E125" s="13" t="inlineStr">
        <is>
          <t>07/24/2026</t>
        </is>
      </c>
      <c r="F125" s="13" t="inlineStr">
        <is>
          <t>07/31/2026</t>
        </is>
      </c>
      <c r="G125" s="13" t="inlineStr">
        <is>
          <t>08/07/2026</t>
        </is>
      </c>
      <c r="H125" s="13" t="inlineStr">
        <is>
          <t>08/14/2026</t>
        </is>
      </c>
      <c r="I125" s="13" t="inlineStr">
        <is>
          <t>08/21/2026</t>
        </is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80"/>
      <c r="AE125" s="84"/>
      <c r="AF125" s="80"/>
      <c r="AG125" s="88"/>
      <c r="AH125" s="88"/>
      <c r="AI125" s="88"/>
      <c r="AJ125" s="88"/>
      <c r="AK125" s="88"/>
      <c r="AL125" s="88"/>
    </row>
    <row r="126" spans="1:38" x14ac:dyDescent="0.2">
      <c r="A126" s="1" t="s">
        <v>10</v>
      </c>
      <c r="B126" s="2"/>
      <c r="C126" s="2"/>
      <c r="D126" s="2"/>
      <c r="E126" s="25"/>
      <c r="F126" s="25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85"/>
      <c r="AF126" s="87"/>
      <c r="AG126" s="85"/>
      <c r="AH126" s="85"/>
      <c r="AI126" s="85"/>
      <c r="AJ126" s="85"/>
      <c r="AK126" s="85"/>
      <c r="AL126" s="85"/>
    </row>
    <row r="128" spans="1:38" x14ac:dyDescent="0.2">
      <c r="A128" s="12" t="s">
        <v>126</v>
      </c>
      <c r="B128" s="13" t="inlineStr">
        <is>
          <t>06/26/2026</t>
        </is>
      </c>
      <c r="C128" s="13" t="inlineStr">
        <is>
          <t>07/10/2026</t>
        </is>
      </c>
      <c r="D128" s="13" t="inlineStr">
        <is>
          <t>07/17/2026</t>
        </is>
      </c>
      <c r="E128" s="13" t="inlineStr">
        <is>
          <t>07/24/2026</t>
        </is>
      </c>
      <c r="F128" s="13" t="inlineStr">
        <is>
          <t>07/31/2026</t>
        </is>
      </c>
      <c r="G128" s="13" t="inlineStr">
        <is>
          <t>08/07/2026</t>
        </is>
      </c>
      <c r="H128" s="13" t="inlineStr">
        <is>
          <t>08/14/2026</t>
        </is>
      </c>
      <c r="I128" s="13" t="inlineStr">
        <is>
          <t>08/21/2026</t>
        </is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80"/>
      <c r="AE128" s="80"/>
      <c r="AF128" s="80"/>
      <c r="AG128" s="88"/>
      <c r="AH128" s="88"/>
      <c r="AI128" s="88"/>
      <c r="AJ128" s="88"/>
      <c r="AK128" s="88"/>
      <c r="AL128" s="88"/>
    </row>
    <row r="129" spans="1:38" x14ac:dyDescent="0.2">
      <c r="A129" s="1" t="s">
        <v>127</v>
      </c>
      <c r="B129" s="4"/>
      <c r="C129" s="4"/>
      <c r="D129" s="4"/>
      <c r="E129" s="4"/>
      <c r="F129" s="2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x14ac:dyDescent="0.2">
      <c r="A130" s="1" t="s">
        <v>128</v>
      </c>
      <c r="B130" s="4"/>
      <c r="C130" s="4"/>
      <c r="D130" s="4"/>
      <c r="E130" s="4"/>
      <c r="F130" s="2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x14ac:dyDescent="0.2">
      <c r="A131" s="4" t="s">
        <v>129</v>
      </c>
      <c r="B131" s="21"/>
      <c r="C131" s="21"/>
      <c r="D131" s="21"/>
      <c r="E131" s="21"/>
      <c r="F131" s="2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x14ac:dyDescent="0.2">
      <c r="A132" s="1" t="s">
        <v>130</v>
      </c>
      <c r="B132" s="4"/>
      <c r="C132" s="4"/>
      <c r="D132" s="4"/>
      <c r="E132" s="4"/>
      <c r="F132" s="2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</row>
    <row r="133" spans="1:38" x14ac:dyDescent="0.2">
      <c r="A133" s="4" t="s">
        <v>131</v>
      </c>
      <c r="B133" s="4"/>
      <c r="C133" s="4"/>
      <c r="D133" s="4"/>
      <c r="E133" s="4"/>
      <c r="F133" s="2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</row>
    <row r="134" spans="1:38" x14ac:dyDescent="0.2">
      <c r="A134" s="4" t="s">
        <v>132</v>
      </c>
      <c r="B134" s="4"/>
      <c r="C134" s="4"/>
      <c r="D134" s="4"/>
      <c r="E134" s="4"/>
      <c r="F134" s="2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x14ac:dyDescent="0.2">
      <c r="A135" s="4" t="s">
        <v>133</v>
      </c>
      <c r="B135" s="4"/>
      <c r="C135" s="4"/>
      <c r="D135" s="4"/>
      <c r="E135" s="4"/>
      <c r="F135" s="2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x14ac:dyDescent="0.2">
      <c r="A136" s="4" t="s">
        <v>135</v>
      </c>
      <c r="B136" s="4"/>
      <c r="C136" s="4"/>
      <c r="D136" s="4"/>
      <c r="E136" s="4"/>
      <c r="F136" s="2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38" x14ac:dyDescent="0.2">
      <c r="A137" s="4" t="s">
        <v>136</v>
      </c>
      <c r="B137" s="21"/>
      <c r="C137" s="21"/>
      <c r="D137" s="21"/>
      <c r="E137" s="21"/>
      <c r="F137" s="2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38" x14ac:dyDescent="0.2">
      <c r="A138" s="4" t="s">
        <v>134</v>
      </c>
      <c r="B138" s="21"/>
      <c r="C138" s="21"/>
      <c r="D138" s="21"/>
      <c r="E138" s="21"/>
      <c r="F138" s="21"/>
      <c r="G138" s="22"/>
      <c r="H138" s="22"/>
      <c r="I138" s="22"/>
      <c r="J138" s="22"/>
      <c r="K138" s="22"/>
      <c r="L138" s="22"/>
      <c r="M138" s="22"/>
      <c r="N138" s="22"/>
      <c r="O138" s="22"/>
      <c r="P138" s="23"/>
      <c r="Q138" s="9"/>
      <c r="R138" s="9"/>
      <c r="S138" s="9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38" x14ac:dyDescent="0.2">
      <c r="A139" s="7" t="s">
        <v>137</v>
      </c>
      <c r="B139" s="8"/>
      <c r="C139" s="8"/>
      <c r="D139" s="8"/>
      <c r="E139" s="8"/>
      <c r="F139" s="8"/>
      <c r="G139" s="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1" spans="1:38" ht="22" x14ac:dyDescent="0.3">
      <c r="A141" s="54" t="s">
        <v>145</v>
      </c>
    </row>
    <row r="142" spans="1:38" x14ac:dyDescent="0.2">
      <c r="A142" s="12" t="s">
        <v>101</v>
      </c>
      <c r="B142" s="13" t="inlineStr">
        <is>
          <t>06/26/2026</t>
        </is>
      </c>
      <c r="C142" s="13" t="inlineStr">
        <is>
          <t>07/10/2026</t>
        </is>
      </c>
      <c r="D142" s="13" t="inlineStr">
        <is>
          <t>07/17/2026</t>
        </is>
      </c>
      <c r="E142" s="13" t="inlineStr">
        <is>
          <t>07/24/2026</t>
        </is>
      </c>
      <c r="F142" s="13" t="inlineStr">
        <is>
          <t>07/31/2026</t>
        </is>
      </c>
      <c r="G142" s="13" t="inlineStr">
        <is>
          <t>08/07/2026</t>
        </is>
      </c>
      <c r="H142" s="13" t="inlineStr">
        <is>
          <t>08/14/2026</t>
        </is>
      </c>
      <c r="I142" s="13" t="inlineStr">
        <is>
          <t>08/21/2026</t>
        </is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80"/>
      <c r="AE142" s="84"/>
      <c r="AF142" s="80"/>
      <c r="AG142" s="88"/>
      <c r="AH142" s="88"/>
      <c r="AI142" s="88"/>
      <c r="AJ142" s="88"/>
      <c r="AK142" s="88"/>
      <c r="AL142" s="88"/>
    </row>
    <row r="143" spans="1:38" x14ac:dyDescent="0.2">
      <c r="A143" s="1" t="s">
        <v>10</v>
      </c>
      <c r="B143" s="2"/>
      <c r="C143" s="2"/>
      <c r="D143" s="2"/>
      <c r="E143" s="25"/>
      <c r="F143" s="25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85"/>
      <c r="AF143" s="85"/>
      <c r="AG143" s="85"/>
      <c r="AH143" s="85"/>
      <c r="AI143" s="85"/>
      <c r="AJ143" s="85"/>
      <c r="AK143" s="94"/>
      <c r="AL143" s="85"/>
    </row>
    <row r="145" spans="1:38" x14ac:dyDescent="0.2">
      <c r="A145" s="12" t="s">
        <v>126</v>
      </c>
      <c r="B145" s="13" t="inlineStr">
        <is>
          <t>06/26/2026</t>
        </is>
      </c>
      <c r="C145" s="13" t="inlineStr">
        <is>
          <t>07/10/2026</t>
        </is>
      </c>
      <c r="D145" s="13" t="inlineStr">
        <is>
          <t>07/17/2026</t>
        </is>
      </c>
      <c r="E145" s="13" t="inlineStr">
        <is>
          <t>07/24/2026</t>
        </is>
      </c>
      <c r="F145" s="13" t="inlineStr">
        <is>
          <t>07/31/2026</t>
        </is>
      </c>
      <c r="G145" s="13" t="inlineStr">
        <is>
          <t>08/07/2026</t>
        </is>
      </c>
      <c r="H145" s="13" t="inlineStr">
        <is>
          <t>08/14/2026</t>
        </is>
      </c>
      <c r="I145" s="13" t="inlineStr">
        <is>
          <t>08/21/2026</t>
        </is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80"/>
      <c r="AE145" s="80"/>
      <c r="AF145" s="80"/>
      <c r="AG145" s="88"/>
      <c r="AH145" s="88"/>
      <c r="AI145" s="88"/>
      <c r="AJ145" s="88"/>
      <c r="AK145" s="88"/>
      <c r="AL145" s="88"/>
    </row>
    <row r="146" spans="1:38" x14ac:dyDescent="0.2">
      <c r="A146" s="1" t="s">
        <v>127</v>
      </c>
      <c r="B146" s="4"/>
      <c r="C146" s="4"/>
      <c r="D146" s="4"/>
      <c r="E146" s="4"/>
      <c r="F146" s="2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x14ac:dyDescent="0.2">
      <c r="A147" s="1" t="s">
        <v>128</v>
      </c>
      <c r="B147" s="4"/>
      <c r="C147" s="4"/>
      <c r="D147" s="4"/>
      <c r="E147" s="4"/>
      <c r="F147" s="2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x14ac:dyDescent="0.2">
      <c r="A148" s="4" t="s">
        <v>129</v>
      </c>
      <c r="B148" s="21"/>
      <c r="C148" s="21"/>
      <c r="D148" s="21"/>
      <c r="E148" s="21"/>
      <c r="F148" s="2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1:38" x14ac:dyDescent="0.2">
      <c r="A149" s="1" t="s">
        <v>130</v>
      </c>
      <c r="B149" s="4"/>
      <c r="C149" s="4"/>
      <c r="D149" s="4"/>
      <c r="E149" s="4"/>
      <c r="F149" s="2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1:38" x14ac:dyDescent="0.2">
      <c r="A150" s="4" t="s">
        <v>131</v>
      </c>
      <c r="B150" s="4"/>
      <c r="C150" s="4"/>
      <c r="D150" s="4"/>
      <c r="E150" s="4"/>
      <c r="F150" s="2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1:38" x14ac:dyDescent="0.2">
      <c r="A151" s="4" t="s">
        <v>132</v>
      </c>
      <c r="B151" s="4"/>
      <c r="C151" s="4"/>
      <c r="D151" s="4"/>
      <c r="E151" s="4"/>
      <c r="F151" s="2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1:38" x14ac:dyDescent="0.2">
      <c r="A152" s="4" t="s">
        <v>133</v>
      </c>
      <c r="B152" s="4"/>
      <c r="C152" s="4"/>
      <c r="D152" s="4"/>
      <c r="E152" s="4"/>
      <c r="F152" s="2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1:38" x14ac:dyDescent="0.2">
      <c r="A153" s="4" t="s">
        <v>134</v>
      </c>
      <c r="B153" s="4"/>
      <c r="C153" s="4"/>
      <c r="D153" s="4"/>
      <c r="E153" s="4"/>
      <c r="F153" s="2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1:38" x14ac:dyDescent="0.2">
      <c r="A154" s="4" t="s">
        <v>135</v>
      </c>
      <c r="B154" s="21"/>
      <c r="C154" s="21"/>
      <c r="D154" s="21"/>
      <c r="E154" s="21"/>
      <c r="F154" s="2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1:38" x14ac:dyDescent="0.2">
      <c r="A155" s="4" t="s">
        <v>136</v>
      </c>
      <c r="B155" s="21"/>
      <c r="C155" s="21"/>
      <c r="D155" s="21"/>
      <c r="E155" s="21"/>
      <c r="F155" s="21"/>
      <c r="G155" s="22"/>
      <c r="H155" s="22"/>
      <c r="I155" s="22"/>
      <c r="J155" s="22"/>
      <c r="K155" s="22"/>
      <c r="L155" s="22"/>
      <c r="M155" s="22"/>
      <c r="N155" s="22"/>
      <c r="O155" s="22"/>
      <c r="P155" s="23"/>
      <c r="Q155" s="9"/>
      <c r="R155" s="9"/>
      <c r="S155" s="9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x14ac:dyDescent="0.2">
      <c r="A156" s="7" t="s">
        <v>137</v>
      </c>
      <c r="B156" s="8"/>
      <c r="C156" s="8"/>
      <c r="D156" s="8"/>
      <c r="E156" s="8"/>
      <c r="F156" s="8"/>
      <c r="G156" s="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8" spans="1:38" ht="22" x14ac:dyDescent="0.3">
      <c r="A158" s="54" t="s">
        <v>146</v>
      </c>
    </row>
    <row r="159" spans="1:38" x14ac:dyDescent="0.2">
      <c r="A159" s="12" t="s">
        <v>101</v>
      </c>
      <c r="B159" s="13" t="inlineStr">
        <is>
          <t>06/26/2026</t>
        </is>
      </c>
      <c r="C159" s="13" t="inlineStr">
        <is>
          <t>07/10/2026</t>
        </is>
      </c>
      <c r="D159" s="13" t="inlineStr">
        <is>
          <t>07/17/2026</t>
        </is>
      </c>
      <c r="E159" s="13" t="inlineStr">
        <is>
          <t>07/24/2026</t>
        </is>
      </c>
      <c r="F159" s="13" t="inlineStr">
        <is>
          <t>07/31/2026</t>
        </is>
      </c>
      <c r="G159" s="13" t="inlineStr">
        <is>
          <t>08/07/2026</t>
        </is>
      </c>
      <c r="H159" s="13" t="inlineStr">
        <is>
          <t>08/14/2026</t>
        </is>
      </c>
      <c r="I159" s="13" t="inlineStr">
        <is>
          <t>08/21/2026</t>
        </is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80"/>
      <c r="AE159" s="80"/>
      <c r="AF159" s="80"/>
      <c r="AG159" s="88"/>
      <c r="AH159" s="88"/>
      <c r="AI159" s="88"/>
      <c r="AJ159" s="88"/>
      <c r="AK159" s="88"/>
      <c r="AL159" s="88"/>
    </row>
    <row r="160" spans="1:38" x14ac:dyDescent="0.2">
      <c r="A160" s="1" t="s">
        <v>10</v>
      </c>
      <c r="B160" s="2"/>
      <c r="C160" s="2"/>
      <c r="D160" s="2"/>
      <c r="E160" s="25"/>
      <c r="F160" s="25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78"/>
      <c r="Y160" s="78"/>
      <c r="Z160" s="78"/>
      <c r="AA160" s="78"/>
      <c r="AB160" s="78"/>
      <c r="AC160" s="78"/>
      <c r="AD160" s="78"/>
      <c r="AE160" s="85"/>
      <c r="AF160" s="85"/>
      <c r="AG160" s="85"/>
      <c r="AH160" s="85"/>
      <c r="AI160" s="85"/>
      <c r="AJ160" s="85"/>
      <c r="AK160" s="85"/>
      <c r="AL160" s="85"/>
    </row>
    <row r="162" spans="1:38" x14ac:dyDescent="0.2">
      <c r="A162" s="12" t="s">
        <v>126</v>
      </c>
      <c r="B162" s="13" t="inlineStr">
        <is>
          <t>06/26/2026</t>
        </is>
      </c>
      <c r="C162" s="13" t="inlineStr">
        <is>
          <t>07/10/2026</t>
        </is>
      </c>
      <c r="D162" s="13" t="inlineStr">
        <is>
          <t>07/17/2026</t>
        </is>
      </c>
      <c r="E162" s="13" t="inlineStr">
        <is>
          <t>07/24/2026</t>
        </is>
      </c>
      <c r="F162" s="13" t="inlineStr">
        <is>
          <t>07/31/2026</t>
        </is>
      </c>
      <c r="G162" s="13" t="inlineStr">
        <is>
          <t>08/07/2026</t>
        </is>
      </c>
      <c r="H162" s="13" t="inlineStr">
        <is>
          <t>08/14/2026</t>
        </is>
      </c>
      <c r="I162" s="13" t="inlineStr">
        <is>
          <t>08/21/2026</t>
        </is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80"/>
      <c r="AE162" s="80"/>
      <c r="AF162" s="80"/>
      <c r="AG162" s="88"/>
      <c r="AH162" s="88"/>
      <c r="AI162" s="88"/>
      <c r="AJ162" s="88"/>
      <c r="AK162" s="88"/>
      <c r="AL162" s="88"/>
    </row>
    <row r="163" spans="1:38" x14ac:dyDescent="0.2">
      <c r="A163" s="1" t="s">
        <v>127</v>
      </c>
      <c r="B163" s="4"/>
      <c r="C163" s="4"/>
      <c r="D163" s="4"/>
      <c r="E163" s="4"/>
      <c r="F163" s="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1:38" x14ac:dyDescent="0.2">
      <c r="A164" s="1" t="s">
        <v>128</v>
      </c>
      <c r="B164" s="4"/>
      <c r="C164" s="4"/>
      <c r="D164" s="4"/>
      <c r="E164" s="4"/>
      <c r="F164" s="2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1:38" x14ac:dyDescent="0.2">
      <c r="A165" s="4" t="s">
        <v>129</v>
      </c>
      <c r="B165" s="21"/>
      <c r="C165" s="21"/>
      <c r="D165" s="21"/>
      <c r="E165" s="21"/>
      <c r="F165" s="2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x14ac:dyDescent="0.2">
      <c r="A166" s="1" t="s">
        <v>130</v>
      </c>
      <c r="B166" s="4"/>
      <c r="C166" s="4"/>
      <c r="D166" s="4"/>
      <c r="E166" s="4"/>
      <c r="F166" s="2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1:38" x14ac:dyDescent="0.2">
      <c r="A167" s="4" t="s">
        <v>131</v>
      </c>
      <c r="B167" s="4"/>
      <c r="C167" s="4"/>
      <c r="D167" s="4"/>
      <c r="E167" s="4"/>
      <c r="F167" s="2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x14ac:dyDescent="0.2">
      <c r="A168" s="4" t="s">
        <v>132</v>
      </c>
      <c r="B168" s="4"/>
      <c r="C168" s="4"/>
      <c r="D168" s="4"/>
      <c r="E168" s="4"/>
      <c r="F168" s="2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1:38" x14ac:dyDescent="0.2">
      <c r="A169" s="4" t="s">
        <v>133</v>
      </c>
      <c r="B169" s="4"/>
      <c r="C169" s="4"/>
      <c r="D169" s="4"/>
      <c r="E169" s="4"/>
      <c r="F169" s="2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1:38" x14ac:dyDescent="0.2">
      <c r="A170" s="4" t="s">
        <v>134</v>
      </c>
      <c r="B170" s="4"/>
      <c r="C170" s="4"/>
      <c r="D170" s="4"/>
      <c r="E170" s="4"/>
      <c r="F170" s="2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x14ac:dyDescent="0.2">
      <c r="A171" s="4" t="s">
        <v>135</v>
      </c>
      <c r="B171" s="21"/>
      <c r="C171" s="21"/>
      <c r="D171" s="21"/>
      <c r="E171" s="21"/>
      <c r="F171" s="2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x14ac:dyDescent="0.2">
      <c r="A172" s="4" t="s">
        <v>136</v>
      </c>
      <c r="B172" s="21"/>
      <c r="C172" s="21"/>
      <c r="D172" s="21"/>
      <c r="E172" s="21"/>
      <c r="F172" s="21"/>
      <c r="G172" s="22"/>
      <c r="H172" s="22"/>
      <c r="I172" s="22"/>
      <c r="J172" s="22"/>
      <c r="K172" s="22"/>
      <c r="L172" s="22"/>
      <c r="M172" s="22"/>
      <c r="N172" s="22"/>
      <c r="O172" s="22"/>
      <c r="P172" s="23"/>
      <c r="Q172" s="9"/>
      <c r="R172" s="9"/>
      <c r="S172" s="9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x14ac:dyDescent="0.2">
      <c r="A173" s="7" t="s">
        <v>137</v>
      </c>
      <c r="B173" s="8"/>
      <c r="C173" s="8"/>
      <c r="D173" s="8"/>
      <c r="E173" s="8"/>
      <c r="F173" s="8"/>
      <c r="G173" s="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5" spans="1:38" ht="22" x14ac:dyDescent="0.3">
      <c r="A175" s="54" t="s">
        <v>147</v>
      </c>
    </row>
    <row r="176" spans="1:38" x14ac:dyDescent="0.2">
      <c r="A176" s="12" t="s">
        <v>101</v>
      </c>
      <c r="B176" s="13" t="inlineStr">
        <is>
          <t>06/26/2026</t>
        </is>
      </c>
      <c r="C176" s="13" t="inlineStr">
        <is>
          <t>07/10/2026</t>
        </is>
      </c>
      <c r="D176" s="13" t="inlineStr">
        <is>
          <t>07/17/2026</t>
        </is>
      </c>
      <c r="E176" s="13" t="inlineStr">
        <is>
          <t>07/24/2026</t>
        </is>
      </c>
      <c r="F176" s="13" t="inlineStr">
        <is>
          <t>07/31/2026</t>
        </is>
      </c>
      <c r="G176" s="13" t="inlineStr">
        <is>
          <t>08/07/2026</t>
        </is>
      </c>
      <c r="H176" s="13" t="inlineStr">
        <is>
          <t>08/14/2026</t>
        </is>
      </c>
      <c r="I176" s="13" t="inlineStr">
        <is>
          <t>08/21/2026</t>
        </is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80"/>
      <c r="AE176" s="80"/>
      <c r="AF176" s="80"/>
      <c r="AG176" s="88"/>
      <c r="AH176" s="88"/>
      <c r="AI176" s="88"/>
      <c r="AJ176" s="88"/>
      <c r="AK176" s="88"/>
      <c r="AL176" s="88"/>
    </row>
    <row r="177" spans="1:38" x14ac:dyDescent="0.2">
      <c r="A177" s="1" t="s">
        <v>10</v>
      </c>
      <c r="B177" s="2"/>
      <c r="C177" s="2"/>
      <c r="D177" s="2"/>
      <c r="E177" s="25"/>
      <c r="F177" s="25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85"/>
      <c r="AF177" s="85"/>
      <c r="AG177" s="85"/>
      <c r="AH177" s="85"/>
      <c r="AI177" s="85"/>
      <c r="AJ177" s="85"/>
      <c r="AK177" s="85"/>
      <c r="AL177" s="85"/>
    </row>
    <row r="179" spans="1:38" x14ac:dyDescent="0.2">
      <c r="A179" s="12" t="s">
        <v>126</v>
      </c>
      <c r="B179" s="13" t="inlineStr">
        <is>
          <t>06/26/2026</t>
        </is>
      </c>
      <c r="C179" s="13" t="inlineStr">
        <is>
          <t>07/10/2026</t>
        </is>
      </c>
      <c r="D179" s="13" t="inlineStr">
        <is>
          <t>07/17/2026</t>
        </is>
      </c>
      <c r="E179" s="13" t="inlineStr">
        <is>
          <t>07/24/2026</t>
        </is>
      </c>
      <c r="F179" s="13" t="inlineStr">
        <is>
          <t>07/31/2026</t>
        </is>
      </c>
      <c r="G179" s="13" t="inlineStr">
        <is>
          <t>08/07/2026</t>
        </is>
      </c>
      <c r="H179" s="13" t="inlineStr">
        <is>
          <t>08/14/2026</t>
        </is>
      </c>
      <c r="I179" s="13" t="inlineStr">
        <is>
          <t>08/21/2026</t>
        </is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80"/>
      <c r="AE179" s="80"/>
      <c r="AF179" s="80"/>
      <c r="AG179" s="88"/>
      <c r="AH179" s="88"/>
      <c r="AI179" s="88"/>
      <c r="AJ179" s="88"/>
      <c r="AK179" s="88"/>
      <c r="AL179" s="88"/>
    </row>
    <row r="180" spans="1:38" x14ac:dyDescent="0.2">
      <c r="A180" s="1" t="s">
        <v>127</v>
      </c>
      <c r="B180" s="4"/>
      <c r="C180" s="4"/>
      <c r="D180" s="4"/>
      <c r="E180" s="4"/>
      <c r="F180" s="2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2">
      <c r="A181" s="1" t="s">
        <v>128</v>
      </c>
      <c r="B181" s="4"/>
      <c r="C181" s="4"/>
      <c r="D181" s="4"/>
      <c r="E181" s="4"/>
      <c r="F181" s="2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x14ac:dyDescent="0.2">
      <c r="A182" s="4" t="s">
        <v>129</v>
      </c>
      <c r="B182" s="21"/>
      <c r="C182" s="21"/>
      <c r="D182" s="21"/>
      <c r="E182" s="21"/>
      <c r="F182" s="2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2">
      <c r="A183" s="1" t="s">
        <v>130</v>
      </c>
      <c r="B183" s="4"/>
      <c r="C183" s="4"/>
      <c r="D183" s="4"/>
      <c r="E183" s="4"/>
      <c r="F183" s="2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2">
      <c r="A184" s="4" t="s">
        <v>131</v>
      </c>
      <c r="B184" s="4"/>
      <c r="C184" s="4"/>
      <c r="D184" s="4"/>
      <c r="E184" s="4"/>
      <c r="F184" s="2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1:38" x14ac:dyDescent="0.2">
      <c r="A185" s="4" t="s">
        <v>132</v>
      </c>
      <c r="B185" s="4"/>
      <c r="C185" s="4"/>
      <c r="D185" s="4"/>
      <c r="E185" s="4"/>
      <c r="F185" s="2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1:38" x14ac:dyDescent="0.2">
      <c r="A186" s="4" t="s">
        <v>133</v>
      </c>
      <c r="B186" s="4"/>
      <c r="C186" s="4"/>
      <c r="D186" s="4"/>
      <c r="E186" s="4"/>
      <c r="F186" s="2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1:38" x14ac:dyDescent="0.2">
      <c r="A187" s="4" t="s">
        <v>134</v>
      </c>
      <c r="B187" s="4"/>
      <c r="C187" s="4"/>
      <c r="D187" s="4"/>
      <c r="E187" s="4"/>
      <c r="F187" s="2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x14ac:dyDescent="0.2">
      <c r="A188" s="4" t="s">
        <v>135</v>
      </c>
      <c r="B188" s="21"/>
      <c r="C188" s="21"/>
      <c r="D188" s="21"/>
      <c r="E188" s="21"/>
      <c r="F188" s="2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x14ac:dyDescent="0.2">
      <c r="A189" s="4" t="s">
        <v>136</v>
      </c>
      <c r="B189" s="21"/>
      <c r="C189" s="21"/>
      <c r="D189" s="21"/>
      <c r="E189" s="21"/>
      <c r="F189" s="21"/>
      <c r="G189" s="22"/>
      <c r="H189" s="22"/>
      <c r="I189" s="22"/>
      <c r="J189" s="22"/>
      <c r="K189" s="22"/>
      <c r="L189" s="22"/>
      <c r="M189" s="22"/>
      <c r="N189" s="22"/>
      <c r="O189" s="22"/>
      <c r="P189" s="23"/>
      <c r="Q189" s="9"/>
      <c r="R189" s="9"/>
      <c r="S189" s="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1:38" x14ac:dyDescent="0.2">
      <c r="A190" s="7" t="s">
        <v>137</v>
      </c>
      <c r="B190" s="8"/>
      <c r="C190" s="8"/>
      <c r="D190" s="8"/>
      <c r="E190" s="8"/>
      <c r="F190" s="8"/>
      <c r="G190" s="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2" spans="1:38" ht="22" x14ac:dyDescent="0.3">
      <c r="A192" s="54" t="s">
        <v>148</v>
      </c>
    </row>
    <row r="193" spans="1:38" x14ac:dyDescent="0.2">
      <c r="A193" s="12" t="s">
        <v>101</v>
      </c>
      <c r="B193" s="13" t="inlineStr">
        <is>
          <t>06/26/2026</t>
        </is>
      </c>
      <c r="C193" s="13" t="inlineStr">
        <is>
          <t>07/10/2026</t>
        </is>
      </c>
      <c r="D193" s="13" t="inlineStr">
        <is>
          <t>07/17/2026</t>
        </is>
      </c>
      <c r="E193" s="13" t="inlineStr">
        <is>
          <t>07/24/2026</t>
        </is>
      </c>
      <c r="F193" s="13" t="inlineStr">
        <is>
          <t>07/31/2026</t>
        </is>
      </c>
      <c r="G193" s="13" t="inlineStr">
        <is>
          <t>08/07/2026</t>
        </is>
      </c>
      <c r="H193" s="13" t="inlineStr">
        <is>
          <t>08/14/2026</t>
        </is>
      </c>
      <c r="I193" s="13" t="inlineStr">
        <is>
          <t>08/21/2026</t>
        </is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80"/>
      <c r="AE193" s="80"/>
      <c r="AF193" s="80"/>
      <c r="AG193" s="88"/>
      <c r="AH193" s="88"/>
      <c r="AI193" s="88"/>
      <c r="AJ193" s="88"/>
      <c r="AK193" s="88"/>
      <c r="AL193" s="88"/>
    </row>
    <row r="194" spans="1:38" x14ac:dyDescent="0.2">
      <c r="A194" s="1" t="s">
        <v>10</v>
      </c>
      <c r="B194" s="2"/>
      <c r="C194" s="2"/>
      <c r="D194" s="2"/>
      <c r="E194" s="25"/>
      <c r="F194" s="25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85"/>
      <c r="AF194" s="85"/>
      <c r="AG194" s="85"/>
      <c r="AH194" s="85"/>
      <c r="AI194" s="85"/>
      <c r="AJ194" s="85"/>
      <c r="AK194" s="85"/>
      <c r="AL194" s="85"/>
    </row>
    <row r="196" spans="1:38" x14ac:dyDescent="0.2">
      <c r="A196" s="12" t="s">
        <v>126</v>
      </c>
      <c r="B196" s="13" t="inlineStr">
        <is>
          <t>06/26/2026</t>
        </is>
      </c>
      <c r="C196" s="13" t="inlineStr">
        <is>
          <t>07/10/2026</t>
        </is>
      </c>
      <c r="D196" s="13" t="inlineStr">
        <is>
          <t>07/17/2026</t>
        </is>
      </c>
      <c r="E196" s="13" t="inlineStr">
        <is>
          <t>07/24/2026</t>
        </is>
      </c>
      <c r="F196" s="13" t="inlineStr">
        <is>
          <t>07/31/2026</t>
        </is>
      </c>
      <c r="G196" s="13" t="inlineStr">
        <is>
          <t>08/07/2026</t>
        </is>
      </c>
      <c r="H196" s="13" t="inlineStr">
        <is>
          <t>08/14/2026</t>
        </is>
      </c>
      <c r="I196" s="13" t="inlineStr">
        <is>
          <t>08/21/2026</t>
        </is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80"/>
      <c r="AE196" s="80"/>
      <c r="AF196" s="80"/>
      <c r="AG196" s="88"/>
      <c r="AH196" s="88"/>
      <c r="AI196" s="88"/>
      <c r="AJ196" s="88"/>
      <c r="AK196" s="88"/>
      <c r="AL196" s="88"/>
    </row>
    <row r="197" spans="1:38" x14ac:dyDescent="0.2">
      <c r="A197" s="1" t="s">
        <v>127</v>
      </c>
      <c r="B197" s="4"/>
      <c r="C197" s="4"/>
      <c r="D197" s="4"/>
      <c r="E197" s="4"/>
      <c r="F197" s="2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1:38" x14ac:dyDescent="0.2">
      <c r="A198" s="1" t="s">
        <v>128</v>
      </c>
      <c r="B198" s="4"/>
      <c r="C198" s="4"/>
      <c r="D198" s="4"/>
      <c r="E198" s="4"/>
      <c r="F198" s="2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8" x14ac:dyDescent="0.2">
      <c r="A199" s="4" t="s">
        <v>129</v>
      </c>
      <c r="B199" s="21"/>
      <c r="C199" s="21"/>
      <c r="D199" s="21"/>
      <c r="E199" s="21"/>
      <c r="F199" s="2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8" x14ac:dyDescent="0.2">
      <c r="A200" s="1" t="s">
        <v>130</v>
      </c>
      <c r="B200" s="4"/>
      <c r="C200" s="4"/>
      <c r="D200" s="4"/>
      <c r="E200" s="4"/>
      <c r="F200" s="2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8" x14ac:dyDescent="0.2">
      <c r="A201" s="4" t="s">
        <v>131</v>
      </c>
      <c r="B201" s="4"/>
      <c r="C201" s="4"/>
      <c r="D201" s="4"/>
      <c r="E201" s="4"/>
      <c r="F201" s="2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x14ac:dyDescent="0.2">
      <c r="A202" s="4" t="s">
        <v>132</v>
      </c>
      <c r="B202" s="4"/>
      <c r="C202" s="4"/>
      <c r="D202" s="4"/>
      <c r="E202" s="4"/>
      <c r="F202" s="2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1:38" x14ac:dyDescent="0.2">
      <c r="A203" s="4" t="s">
        <v>133</v>
      </c>
      <c r="B203" s="4"/>
      <c r="C203" s="4"/>
      <c r="D203" s="4"/>
      <c r="E203" s="4"/>
      <c r="F203" s="2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x14ac:dyDescent="0.2">
      <c r="A204" s="4" t="s">
        <v>134</v>
      </c>
      <c r="B204" s="4"/>
      <c r="C204" s="4"/>
      <c r="D204" s="4"/>
      <c r="E204" s="4"/>
      <c r="F204" s="2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1:38" x14ac:dyDescent="0.2">
      <c r="A205" s="4" t="s">
        <v>135</v>
      </c>
      <c r="B205" s="21"/>
      <c r="C205" s="21"/>
      <c r="D205" s="21"/>
      <c r="E205" s="21"/>
      <c r="F205" s="2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1:38" x14ac:dyDescent="0.2">
      <c r="A206" s="4" t="s">
        <v>136</v>
      </c>
      <c r="B206" s="21"/>
      <c r="C206" s="21"/>
      <c r="D206" s="21"/>
      <c r="E206" s="21"/>
      <c r="F206" s="21"/>
      <c r="G206" s="22"/>
      <c r="H206" s="22"/>
      <c r="I206" s="22"/>
      <c r="J206" s="22"/>
      <c r="K206" s="22"/>
      <c r="L206" s="22"/>
      <c r="M206" s="22"/>
      <c r="N206" s="22"/>
      <c r="O206" s="22"/>
      <c r="P206" s="23"/>
      <c r="Q206" s="9"/>
      <c r="R206" s="9"/>
      <c r="S206" s="9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x14ac:dyDescent="0.2">
      <c r="A207" s="7" t="s">
        <v>137</v>
      </c>
      <c r="B207" s="8"/>
      <c r="C207" s="8"/>
      <c r="D207" s="8"/>
      <c r="E207" s="8"/>
      <c r="F207" s="8"/>
      <c r="G207" s="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9" spans="1:38" ht="22" x14ac:dyDescent="0.3">
      <c r="A209" s="54" t="s">
        <v>149</v>
      </c>
    </row>
    <row r="210" spans="1:38" x14ac:dyDescent="0.2">
      <c r="A210" s="12" t="s">
        <v>101</v>
      </c>
      <c r="B210" s="13" t="inlineStr">
        <is>
          <t>06/26/2026</t>
        </is>
      </c>
      <c r="C210" s="13" t="inlineStr">
        <is>
          <t>07/10/2026</t>
        </is>
      </c>
      <c r="D210" s="13" t="inlineStr">
        <is>
          <t>07/17/2026</t>
        </is>
      </c>
      <c r="E210" s="13" t="inlineStr">
        <is>
          <t>07/24/2026</t>
        </is>
      </c>
      <c r="F210" s="13" t="inlineStr">
        <is>
          <t>07/31/2026</t>
        </is>
      </c>
      <c r="G210" s="13" t="inlineStr">
        <is>
          <t>08/07/2026</t>
        </is>
      </c>
      <c r="H210" s="13" t="inlineStr">
        <is>
          <t>08/14/2026</t>
        </is>
      </c>
      <c r="I210" s="13" t="inlineStr">
        <is>
          <t>08/21/2026</t>
        </is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80"/>
      <c r="AE210" s="80"/>
      <c r="AF210" s="80"/>
      <c r="AG210" s="88"/>
      <c r="AH210" s="88"/>
      <c r="AI210" s="88"/>
      <c r="AJ210" s="88"/>
      <c r="AK210" s="88"/>
      <c r="AL210" s="88"/>
    </row>
    <row r="211" spans="1:38" x14ac:dyDescent="0.2">
      <c r="A211" s="1" t="s">
        <v>10</v>
      </c>
      <c r="B211" s="2"/>
      <c r="C211" s="2"/>
      <c r="D211" s="2"/>
      <c r="E211" s="25"/>
      <c r="F211" s="25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85"/>
      <c r="AF211" s="85"/>
      <c r="AG211" s="85"/>
      <c r="AH211" s="85"/>
      <c r="AI211" s="85"/>
      <c r="AJ211" s="85"/>
      <c r="AK211" s="94"/>
      <c r="AL211" s="85"/>
    </row>
    <row r="213" spans="1:38" x14ac:dyDescent="0.2">
      <c r="A213" s="12" t="s">
        <v>126</v>
      </c>
      <c r="B213" s="13" t="inlineStr">
        <is>
          <t>06/26/2026</t>
        </is>
      </c>
      <c r="C213" s="13" t="inlineStr">
        <is>
          <t>07/10/2026</t>
        </is>
      </c>
      <c r="D213" s="13" t="inlineStr">
        <is>
          <t>07/17/2026</t>
        </is>
      </c>
      <c r="E213" s="13" t="inlineStr">
        <is>
          <t>07/24/2026</t>
        </is>
      </c>
      <c r="F213" s="13" t="inlineStr">
        <is>
          <t>07/31/2026</t>
        </is>
      </c>
      <c r="G213" s="13" t="inlineStr">
        <is>
          <t>08/07/2026</t>
        </is>
      </c>
      <c r="H213" s="13" t="inlineStr">
        <is>
          <t>08/14/2026</t>
        </is>
      </c>
      <c r="I213" s="13" t="inlineStr">
        <is>
          <t>08/21/2026</t>
        </is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80"/>
      <c r="AE213" s="80"/>
      <c r="AF213" s="80"/>
      <c r="AG213" s="88"/>
      <c r="AH213" s="88"/>
      <c r="AI213" s="88"/>
      <c r="AJ213" s="88"/>
      <c r="AK213" s="88"/>
      <c r="AL213" s="88"/>
    </row>
    <row r="214" spans="1:38" x14ac:dyDescent="0.2">
      <c r="A214" s="1" t="s">
        <v>127</v>
      </c>
      <c r="B214" s="4"/>
      <c r="C214" s="4"/>
      <c r="D214" s="4"/>
      <c r="E214" s="4"/>
      <c r="F214" s="2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1:38" x14ac:dyDescent="0.2">
      <c r="A215" s="1" t="s">
        <v>128</v>
      </c>
      <c r="B215" s="4"/>
      <c r="C215" s="4"/>
      <c r="D215" s="4"/>
      <c r="E215" s="4"/>
      <c r="F215" s="2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x14ac:dyDescent="0.2">
      <c r="A216" s="4" t="s">
        <v>129</v>
      </c>
      <c r="B216" s="21"/>
      <c r="C216" s="21"/>
      <c r="D216" s="21"/>
      <c r="E216" s="21"/>
      <c r="F216" s="2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1:38" x14ac:dyDescent="0.2">
      <c r="A217" s="1" t="s">
        <v>130</v>
      </c>
      <c r="B217" s="4"/>
      <c r="C217" s="4"/>
      <c r="D217" s="4"/>
      <c r="E217" s="4"/>
      <c r="F217" s="2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x14ac:dyDescent="0.2">
      <c r="A218" s="4" t="s">
        <v>131</v>
      </c>
      <c r="B218" s="4"/>
      <c r="C218" s="4"/>
      <c r="D218" s="4"/>
      <c r="E218" s="4"/>
      <c r="F218" s="2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x14ac:dyDescent="0.2">
      <c r="A219" s="4" t="s">
        <v>132</v>
      </c>
      <c r="B219" s="4"/>
      <c r="C219" s="4"/>
      <c r="D219" s="4"/>
      <c r="E219" s="4"/>
      <c r="F219" s="2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x14ac:dyDescent="0.2">
      <c r="A220" s="4" t="s">
        <v>133</v>
      </c>
      <c r="B220" s="4"/>
      <c r="C220" s="4"/>
      <c r="D220" s="4"/>
      <c r="E220" s="4"/>
      <c r="F220" s="2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x14ac:dyDescent="0.2">
      <c r="A221" s="4" t="s">
        <v>134</v>
      </c>
      <c r="B221" s="4"/>
      <c r="C221" s="4"/>
      <c r="D221" s="4"/>
      <c r="E221" s="4"/>
      <c r="F221" s="2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1:38" x14ac:dyDescent="0.2">
      <c r="A222" s="4" t="s">
        <v>135</v>
      </c>
      <c r="B222" s="21"/>
      <c r="C222" s="21"/>
      <c r="D222" s="21"/>
      <c r="E222" s="21"/>
      <c r="F222" s="2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x14ac:dyDescent="0.2">
      <c r="A223" s="4" t="s">
        <v>136</v>
      </c>
      <c r="B223" s="21"/>
      <c r="C223" s="21"/>
      <c r="D223" s="21"/>
      <c r="E223" s="21"/>
      <c r="F223" s="21"/>
      <c r="G223" s="22"/>
      <c r="H223" s="22"/>
      <c r="I223" s="22"/>
      <c r="J223" s="22"/>
      <c r="K223" s="22"/>
      <c r="L223" s="22"/>
      <c r="M223" s="22"/>
      <c r="N223" s="22"/>
      <c r="O223" s="22"/>
      <c r="P223" s="23"/>
      <c r="Q223" s="9"/>
      <c r="R223" s="9"/>
      <c r="S223" s="9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x14ac:dyDescent="0.2">
      <c r="A224" s="7" t="s">
        <v>137</v>
      </c>
      <c r="B224" s="8"/>
      <c r="C224" s="8"/>
      <c r="D224" s="8"/>
      <c r="E224" s="8"/>
      <c r="F224" s="8"/>
      <c r="G224" s="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6" spans="1:38" ht="22" x14ac:dyDescent="0.3">
      <c r="A226" s="54" t="s">
        <v>150</v>
      </c>
    </row>
    <row r="227" spans="1:38" x14ac:dyDescent="0.2">
      <c r="A227" s="12" t="s">
        <v>101</v>
      </c>
      <c r="B227" s="13" t="inlineStr">
        <is>
          <t>06/26/2026</t>
        </is>
      </c>
      <c r="C227" s="13" t="inlineStr">
        <is>
          <t>07/10/2026</t>
        </is>
      </c>
      <c r="D227" s="13" t="inlineStr">
        <is>
          <t>07/17/2026</t>
        </is>
      </c>
      <c r="E227" s="13" t="inlineStr">
        <is>
          <t>07/24/2026</t>
        </is>
      </c>
      <c r="F227" s="13" t="inlineStr">
        <is>
          <t>07/31/2026</t>
        </is>
      </c>
      <c r="G227" s="13" t="inlineStr">
        <is>
          <t>08/07/2026</t>
        </is>
      </c>
      <c r="H227" s="13" t="inlineStr">
        <is>
          <t>08/14/2026</t>
        </is>
      </c>
      <c r="I227" s="13" t="inlineStr">
        <is>
          <t>08/21/2026</t>
        </is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80"/>
      <c r="AE227" s="80"/>
      <c r="AF227" s="80"/>
      <c r="AG227" s="88"/>
      <c r="AH227" s="88"/>
      <c r="AI227" s="88"/>
      <c r="AJ227" s="88"/>
      <c r="AK227" s="88"/>
      <c r="AL227" s="88"/>
    </row>
    <row r="228" spans="1:38" x14ac:dyDescent="0.2">
      <c r="A228" s="1" t="s">
        <v>10</v>
      </c>
      <c r="B228" s="2"/>
      <c r="C228" s="2"/>
      <c r="D228" s="2"/>
      <c r="E228" s="25"/>
      <c r="F228" s="25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85"/>
      <c r="AF228" s="85"/>
      <c r="AG228" s="85"/>
      <c r="AH228" s="85"/>
      <c r="AI228" s="85"/>
      <c r="AJ228" s="85"/>
      <c r="AK228" s="94"/>
      <c r="AL228" s="85"/>
    </row>
    <row r="230" spans="1:38" x14ac:dyDescent="0.2">
      <c r="A230" s="12" t="s">
        <v>126</v>
      </c>
      <c r="B230" s="13" t="inlineStr">
        <is>
          <t>06/26/2026</t>
        </is>
      </c>
      <c r="C230" s="13" t="inlineStr">
        <is>
          <t>07/10/2026</t>
        </is>
      </c>
      <c r="D230" s="13" t="inlineStr">
        <is>
          <t>07/17/2026</t>
        </is>
      </c>
      <c r="E230" s="13" t="inlineStr">
        <is>
          <t>07/24/2026</t>
        </is>
      </c>
      <c r="F230" s="13" t="inlineStr">
        <is>
          <t>07/31/2026</t>
        </is>
      </c>
      <c r="G230" s="13" t="inlineStr">
        <is>
          <t>08/07/2026</t>
        </is>
      </c>
      <c r="H230" s="13" t="inlineStr">
        <is>
          <t>08/14/2026</t>
        </is>
      </c>
      <c r="I230" s="13" t="inlineStr">
        <is>
          <t>08/21/2026</t>
        </is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80"/>
      <c r="AE230" s="80"/>
      <c r="AF230" s="80"/>
      <c r="AG230" s="88"/>
      <c r="AH230" s="88"/>
      <c r="AI230" s="88"/>
      <c r="AJ230" s="88"/>
      <c r="AK230" s="88"/>
      <c r="AL230" s="88"/>
    </row>
    <row r="231" spans="1:38" x14ac:dyDescent="0.2">
      <c r="A231" s="1" t="s">
        <v>127</v>
      </c>
      <c r="B231" s="4"/>
      <c r="C231" s="4"/>
      <c r="D231" s="4"/>
      <c r="E231" s="4"/>
      <c r="F231" s="2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x14ac:dyDescent="0.2">
      <c r="A232" s="1" t="s">
        <v>128</v>
      </c>
      <c r="B232" s="4"/>
      <c r="C232" s="4"/>
      <c r="D232" s="4"/>
      <c r="E232" s="4"/>
      <c r="F232" s="2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x14ac:dyDescent="0.2">
      <c r="A233" s="4" t="s">
        <v>129</v>
      </c>
      <c r="B233" s="21"/>
      <c r="C233" s="21"/>
      <c r="D233" s="21"/>
      <c r="E233" s="21"/>
      <c r="F233" s="2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x14ac:dyDescent="0.2">
      <c r="A234" s="1" t="s">
        <v>130</v>
      </c>
      <c r="B234" s="4"/>
      <c r="C234" s="4"/>
      <c r="D234" s="4"/>
      <c r="E234" s="4"/>
      <c r="F234" s="2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x14ac:dyDescent="0.2">
      <c r="A235" s="4" t="s">
        <v>131</v>
      </c>
      <c r="B235" s="4"/>
      <c r="C235" s="4"/>
      <c r="D235" s="4"/>
      <c r="E235" s="4"/>
      <c r="F235" s="2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1:38" x14ac:dyDescent="0.2">
      <c r="A236" s="4" t="s">
        <v>132</v>
      </c>
      <c r="B236" s="4"/>
      <c r="C236" s="4"/>
      <c r="D236" s="4"/>
      <c r="E236" s="4"/>
      <c r="F236" s="2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x14ac:dyDescent="0.2">
      <c r="A237" s="4" t="s">
        <v>133</v>
      </c>
      <c r="B237" s="4"/>
      <c r="C237" s="4"/>
      <c r="D237" s="4"/>
      <c r="E237" s="4"/>
      <c r="F237" s="2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x14ac:dyDescent="0.2">
      <c r="A238" s="4" t="s">
        <v>134</v>
      </c>
      <c r="B238" s="4"/>
      <c r="C238" s="4"/>
      <c r="D238" s="4"/>
      <c r="E238" s="4"/>
      <c r="F238" s="2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1:38" x14ac:dyDescent="0.2">
      <c r="A239" s="4" t="s">
        <v>135</v>
      </c>
      <c r="B239" s="21"/>
      <c r="C239" s="21"/>
      <c r="D239" s="21"/>
      <c r="E239" s="21"/>
      <c r="F239" s="2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x14ac:dyDescent="0.2">
      <c r="A240" s="4" t="s">
        <v>136</v>
      </c>
      <c r="B240" s="21"/>
      <c r="C240" s="21"/>
      <c r="D240" s="21"/>
      <c r="E240" s="21"/>
      <c r="F240" s="21"/>
      <c r="G240" s="22"/>
      <c r="H240" s="22"/>
      <c r="I240" s="22"/>
      <c r="J240" s="22"/>
      <c r="K240" s="22"/>
      <c r="L240" s="22"/>
      <c r="M240" s="22"/>
      <c r="N240" s="22"/>
      <c r="O240" s="22"/>
      <c r="P240" s="23"/>
      <c r="Q240" s="9"/>
      <c r="R240" s="9"/>
      <c r="S240" s="9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x14ac:dyDescent="0.2">
      <c r="A241" s="7" t="s">
        <v>137</v>
      </c>
      <c r="B241" s="8"/>
      <c r="C241" s="8"/>
      <c r="D241" s="8"/>
      <c r="E241" s="8"/>
      <c r="F241" s="8"/>
      <c r="G241" s="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3" spans="1:38" ht="22" x14ac:dyDescent="0.3">
      <c r="A243" s="54" t="s">
        <v>151</v>
      </c>
    </row>
    <row r="244" spans="1:38" x14ac:dyDescent="0.2">
      <c r="A244" s="12" t="s">
        <v>101</v>
      </c>
      <c r="B244" s="13" t="inlineStr">
        <is>
          <t>06/26/2026</t>
        </is>
      </c>
      <c r="C244" s="13" t="inlineStr">
        <is>
          <t>07/10/2026</t>
        </is>
      </c>
      <c r="D244" s="13" t="inlineStr">
        <is>
          <t>07/17/2026</t>
        </is>
      </c>
      <c r="E244" s="13" t="inlineStr">
        <is>
          <t>07/24/2026</t>
        </is>
      </c>
      <c r="F244" s="13" t="inlineStr">
        <is>
          <t>07/31/2026</t>
        </is>
      </c>
      <c r="G244" s="13" t="inlineStr">
        <is>
          <t>08/07/2026</t>
        </is>
      </c>
      <c r="H244" s="13" t="inlineStr">
        <is>
          <t>08/14/2026</t>
        </is>
      </c>
      <c r="I244" s="13" t="inlineStr">
        <is>
          <t>08/21/2026</t>
        </is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80"/>
      <c r="AE244" s="80"/>
      <c r="AF244" s="80"/>
      <c r="AG244" s="88"/>
      <c r="AH244" s="88"/>
      <c r="AI244" s="88"/>
      <c r="AJ244" s="88"/>
      <c r="AK244" s="88"/>
      <c r="AL244" s="88"/>
    </row>
    <row r="245" spans="1:38" x14ac:dyDescent="0.2">
      <c r="A245" s="1" t="s">
        <v>10</v>
      </c>
      <c r="B245" s="2"/>
      <c r="C245" s="2"/>
      <c r="D245" s="2"/>
      <c r="E245" s="25"/>
      <c r="F245" s="25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85"/>
      <c r="AF245" s="85"/>
      <c r="AG245" s="85"/>
      <c r="AH245" s="85"/>
      <c r="AI245" s="85"/>
      <c r="AJ245" s="85"/>
      <c r="AK245" s="85"/>
      <c r="AL245" s="85"/>
    </row>
    <row r="247" spans="1:38" x14ac:dyDescent="0.2">
      <c r="A247" s="12" t="s">
        <v>126</v>
      </c>
      <c r="B247" s="13" t="inlineStr">
        <is>
          <t>06/26/2026</t>
        </is>
      </c>
      <c r="C247" s="13" t="inlineStr">
        <is>
          <t>07/10/2026</t>
        </is>
      </c>
      <c r="D247" s="13" t="inlineStr">
        <is>
          <t>07/17/2026</t>
        </is>
      </c>
      <c r="E247" s="13" t="inlineStr">
        <is>
          <t>07/24/2026</t>
        </is>
      </c>
      <c r="F247" s="13" t="inlineStr">
        <is>
          <t>07/31/2026</t>
        </is>
      </c>
      <c r="G247" s="13" t="inlineStr">
        <is>
          <t>08/07/2026</t>
        </is>
      </c>
      <c r="H247" s="13" t="inlineStr">
        <is>
          <t>08/14/2026</t>
        </is>
      </c>
      <c r="I247" s="13" t="inlineStr">
        <is>
          <t>08/21/2026</t>
        </is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80"/>
      <c r="AE247" s="80"/>
      <c r="AF247" s="80"/>
      <c r="AG247" s="88"/>
      <c r="AH247" s="88"/>
      <c r="AI247" s="88"/>
      <c r="AJ247" s="88"/>
      <c r="AK247" s="88"/>
      <c r="AL247" s="88"/>
    </row>
    <row r="248" spans="1:38" x14ac:dyDescent="0.2">
      <c r="A248" s="1" t="s">
        <v>127</v>
      </c>
      <c r="B248" s="4"/>
      <c r="C248" s="4"/>
      <c r="D248" s="4"/>
      <c r="E248" s="4"/>
      <c r="F248" s="2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1:38" x14ac:dyDescent="0.2">
      <c r="A249" s="1" t="s">
        <v>128</v>
      </c>
      <c r="B249" s="4"/>
      <c r="C249" s="4"/>
      <c r="D249" s="4"/>
      <c r="E249" s="4"/>
      <c r="F249" s="2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x14ac:dyDescent="0.2">
      <c r="A250" s="4" t="s">
        <v>129</v>
      </c>
      <c r="B250" s="21"/>
      <c r="C250" s="21"/>
      <c r="D250" s="21"/>
      <c r="E250" s="21"/>
      <c r="F250" s="2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1:38" x14ac:dyDescent="0.2">
      <c r="A251" s="1" t="s">
        <v>130</v>
      </c>
      <c r="B251" s="4"/>
      <c r="C251" s="4"/>
      <c r="D251" s="4"/>
      <c r="E251" s="4"/>
      <c r="F251" s="2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x14ac:dyDescent="0.2">
      <c r="A252" s="4" t="s">
        <v>131</v>
      </c>
      <c r="B252" s="4"/>
      <c r="C252" s="4"/>
      <c r="D252" s="4"/>
      <c r="E252" s="4"/>
      <c r="F252" s="2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x14ac:dyDescent="0.2">
      <c r="A253" s="4" t="s">
        <v>132</v>
      </c>
      <c r="B253" s="4"/>
      <c r="C253" s="4"/>
      <c r="D253" s="4"/>
      <c r="E253" s="4"/>
      <c r="F253" s="2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1:38" x14ac:dyDescent="0.2">
      <c r="A254" s="4" t="s">
        <v>133</v>
      </c>
      <c r="B254" s="4"/>
      <c r="C254" s="4"/>
      <c r="D254" s="4"/>
      <c r="E254" s="4"/>
      <c r="F254" s="2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x14ac:dyDescent="0.2">
      <c r="A255" s="4" t="s">
        <v>134</v>
      </c>
      <c r="B255" s="4"/>
      <c r="C255" s="4"/>
      <c r="D255" s="4"/>
      <c r="E255" s="4"/>
      <c r="F255" s="2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x14ac:dyDescent="0.2">
      <c r="A256" s="4" t="s">
        <v>135</v>
      </c>
      <c r="B256" s="21"/>
      <c r="C256" s="21"/>
      <c r="D256" s="21"/>
      <c r="E256" s="21"/>
      <c r="F256" s="2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1:38" x14ac:dyDescent="0.2">
      <c r="A257" s="4" t="s">
        <v>136</v>
      </c>
      <c r="B257" s="21"/>
      <c r="C257" s="21"/>
      <c r="D257" s="21"/>
      <c r="E257" s="21"/>
      <c r="F257" s="21"/>
      <c r="G257" s="22"/>
      <c r="H257" s="22"/>
      <c r="I257" s="22"/>
      <c r="J257" s="22"/>
      <c r="K257" s="22"/>
      <c r="L257" s="22"/>
      <c r="M257" s="22"/>
      <c r="N257" s="22"/>
      <c r="O257" s="22"/>
      <c r="P257" s="23"/>
      <c r="Q257" s="9"/>
      <c r="R257" s="9"/>
      <c r="S257" s="9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1:38" x14ac:dyDescent="0.2">
      <c r="A258" s="7" t="s">
        <v>137</v>
      </c>
      <c r="B258" s="8"/>
      <c r="C258" s="8"/>
      <c r="D258" s="8"/>
      <c r="E258" s="8"/>
      <c r="F258" s="8"/>
      <c r="G258" s="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60" spans="1:38" ht="22" x14ac:dyDescent="0.3">
      <c r="A260" s="54" t="s">
        <v>152</v>
      </c>
    </row>
    <row r="261" spans="1:38" x14ac:dyDescent="0.2">
      <c r="A261" s="12" t="s">
        <v>101</v>
      </c>
      <c r="B261" s="13" t="inlineStr">
        <is>
          <t>06/26/2026</t>
        </is>
      </c>
      <c r="C261" s="13" t="inlineStr">
        <is>
          <t>07/10/2026</t>
        </is>
      </c>
      <c r="D261" s="13" t="inlineStr">
        <is>
          <t>07/17/2026</t>
        </is>
      </c>
      <c r="E261" s="13" t="inlineStr">
        <is>
          <t>07/24/2026</t>
        </is>
      </c>
      <c r="F261" s="13" t="inlineStr">
        <is>
          <t>07/31/2026</t>
        </is>
      </c>
      <c r="G261" s="13" t="inlineStr">
        <is>
          <t>08/07/2026</t>
        </is>
      </c>
      <c r="H261" s="13" t="inlineStr">
        <is>
          <t>08/14/2026</t>
        </is>
      </c>
      <c r="I261" s="13" t="inlineStr">
        <is>
          <t>08/21/2026</t>
        </is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80"/>
      <c r="AE261" s="80"/>
      <c r="AF261" s="80"/>
      <c r="AG261" s="88"/>
      <c r="AH261" s="88"/>
      <c r="AI261" s="88"/>
      <c r="AJ261" s="88"/>
      <c r="AK261" s="88"/>
      <c r="AL261" s="88"/>
    </row>
    <row r="262" spans="1:38" x14ac:dyDescent="0.2">
      <c r="A262" s="1" t="s">
        <v>10</v>
      </c>
      <c r="B262" s="2"/>
      <c r="C262" s="2"/>
      <c r="D262" s="2"/>
      <c r="E262" s="25"/>
      <c r="F262" s="25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85"/>
      <c r="AF262" s="85"/>
      <c r="AG262" s="85"/>
      <c r="AH262" s="85"/>
      <c r="AI262" s="85"/>
      <c r="AJ262" s="85"/>
      <c r="AK262" s="85"/>
      <c r="AL262" s="85"/>
    </row>
    <row r="264" spans="1:38" x14ac:dyDescent="0.2">
      <c r="A264" s="12" t="s">
        <v>126</v>
      </c>
      <c r="B264" s="13" t="inlineStr">
        <is>
          <t>06/26/2026</t>
        </is>
      </c>
      <c r="C264" s="13" t="inlineStr">
        <is>
          <t>07/10/2026</t>
        </is>
      </c>
      <c r="D264" s="13" t="inlineStr">
        <is>
          <t>07/17/2026</t>
        </is>
      </c>
      <c r="E264" s="13" t="inlineStr">
        <is>
          <t>07/24/2026</t>
        </is>
      </c>
      <c r="F264" s="13" t="inlineStr">
        <is>
          <t>07/31/2026</t>
        </is>
      </c>
      <c r="G264" s="13" t="inlineStr">
        <is>
          <t>08/07/2026</t>
        </is>
      </c>
      <c r="H264" s="13" t="inlineStr">
        <is>
          <t>08/14/2026</t>
        </is>
      </c>
      <c r="I264" s="13" t="inlineStr">
        <is>
          <t>08/21/2026</t>
        </is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80"/>
      <c r="AE264" s="80"/>
      <c r="AF264" s="80"/>
      <c r="AG264" s="88"/>
      <c r="AH264" s="88"/>
      <c r="AI264" s="88"/>
      <c r="AJ264" s="88"/>
      <c r="AK264" s="88"/>
      <c r="AL264" s="88"/>
    </row>
    <row r="265" spans="1:38" x14ac:dyDescent="0.2">
      <c r="A265" s="1" t="s">
        <v>127</v>
      </c>
      <c r="B265" s="4"/>
      <c r="C265" s="4"/>
      <c r="D265" s="4"/>
      <c r="E265" s="4"/>
      <c r="F265" s="2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1:38" x14ac:dyDescent="0.2">
      <c r="A266" s="1" t="s">
        <v>128</v>
      </c>
      <c r="B266" s="4"/>
      <c r="C266" s="4"/>
      <c r="D266" s="4"/>
      <c r="E266" s="4"/>
      <c r="F266" s="2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1:38" x14ac:dyDescent="0.2">
      <c r="A267" s="4" t="s">
        <v>129</v>
      </c>
      <c r="B267" s="21"/>
      <c r="C267" s="21"/>
      <c r="D267" s="21"/>
      <c r="E267" s="21"/>
      <c r="F267" s="2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x14ac:dyDescent="0.2">
      <c r="A268" s="1" t="s">
        <v>130</v>
      </c>
      <c r="B268" s="4"/>
      <c r="C268" s="4"/>
      <c r="D268" s="4"/>
      <c r="E268" s="4"/>
      <c r="F268" s="2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1:38" x14ac:dyDescent="0.2">
      <c r="A269" s="4" t="s">
        <v>131</v>
      </c>
      <c r="B269" s="4"/>
      <c r="C269" s="4"/>
      <c r="D269" s="4"/>
      <c r="E269" s="4"/>
      <c r="F269" s="2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 x14ac:dyDescent="0.2">
      <c r="A270" s="4" t="s">
        <v>132</v>
      </c>
      <c r="B270" s="4"/>
      <c r="C270" s="4"/>
      <c r="D270" s="4"/>
      <c r="E270" s="4"/>
      <c r="F270" s="2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1:38" x14ac:dyDescent="0.2">
      <c r="A271" s="4" t="s">
        <v>133</v>
      </c>
      <c r="B271" s="4"/>
      <c r="C271" s="4"/>
      <c r="D271" s="4"/>
      <c r="E271" s="4"/>
      <c r="F271" s="2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1:38" x14ac:dyDescent="0.2">
      <c r="A272" s="4" t="s">
        <v>134</v>
      </c>
      <c r="B272" s="4"/>
      <c r="C272" s="4"/>
      <c r="D272" s="4"/>
      <c r="E272" s="4"/>
      <c r="F272" s="2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 x14ac:dyDescent="0.2">
      <c r="A273" s="4" t="s">
        <v>135</v>
      </c>
      <c r="B273" s="21"/>
      <c r="C273" s="21"/>
      <c r="D273" s="21"/>
      <c r="E273" s="21"/>
      <c r="F273" s="2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1:38" x14ac:dyDescent="0.2">
      <c r="A274" s="4" t="s">
        <v>136</v>
      </c>
      <c r="B274" s="21"/>
      <c r="C274" s="21"/>
      <c r="D274" s="21"/>
      <c r="E274" s="21"/>
      <c r="F274" s="21"/>
      <c r="G274" s="22"/>
      <c r="H274" s="22"/>
      <c r="I274" s="22"/>
      <c r="J274" s="22"/>
      <c r="K274" s="22"/>
      <c r="L274" s="22"/>
      <c r="M274" s="22"/>
      <c r="N274" s="22"/>
      <c r="O274" s="22"/>
      <c r="P274" s="23"/>
      <c r="Q274" s="9"/>
      <c r="R274" s="9"/>
      <c r="S274" s="9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1:38" x14ac:dyDescent="0.2">
      <c r="A275" s="7" t="s">
        <v>137</v>
      </c>
      <c r="B275" s="8"/>
      <c r="C275" s="8"/>
      <c r="D275" s="8"/>
      <c r="E275" s="8"/>
      <c r="F275" s="8"/>
      <c r="G275" s="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</row>
  </sheetData>
  <phoneticPr fontId="5" type="noConversion"/>
  <pageMargins left="0.7" right="0.7" top="0.75" bottom="0.75" header="0.3" footer="0.3"/>
  <pageSetup orientation="portrait" r:id="rId1"/>
  <tableParts count="3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462-F00B-486E-BEC7-5A1E067FA725}">
  <dimension ref="B1:S38"/>
  <sheetViews>
    <sheetView showGridLines="0" topLeftCell="A2" zoomScaleNormal="100" workbookViewId="0">
      <selection activeCell="T23" sqref="T23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3" width="7.33203125" bestFit="1" customWidth="1"/>
    <col min="14" max="14" width="8" bestFit="1" customWidth="1"/>
    <col min="15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BSAcc Class of 2027 Placement</t>
        </is>
      </c>
      <c r="J1" s="30"/>
    </row>
    <row r="21" spans="2:19" ht="27" x14ac:dyDescent="0.35">
      <c r="B21" s="55" t="s">
        <v>178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0.2878787878787879</v>
      </c>
      <c r="Q25" s="42">
        <v>0.17391304347826086</v>
      </c>
      <c r="R25" s="43">
        <v>0.07352941176470588</v>
      </c>
      <c r="S25" s="69">
        <v>0.0821917808219178</v>
      </c>
    </row>
    <row r="26" spans="2:19" ht="19.5" customHeight="1" x14ac:dyDescent="0.2">
      <c r="M26" s="70" t="s">
        <v>164</v>
      </c>
      <c r="N26" s="44"/>
      <c r="O26" s="45"/>
      <c r="P26" s="46">
        <v>0.3333333333333333</v>
      </c>
      <c r="Q26" s="47">
        <v>0.3333333333333333</v>
      </c>
      <c r="R26" s="48">
        <v>0.08823529411764706</v>
      </c>
      <c r="S26" s="71">
        <v>0.2054794520547945</v>
      </c>
    </row>
    <row r="27" spans="2:19" ht="19.5" customHeight="1" x14ac:dyDescent="0.2">
      <c r="M27" s="70" t="s">
        <v>165</v>
      </c>
      <c r="N27" s="44"/>
      <c r="O27" s="49">
        <v>0.2936</v>
      </c>
      <c r="P27" s="50">
        <v>0.3787878787878788</v>
      </c>
      <c r="Q27" s="51">
        <v>0.4492753623188406</v>
      </c>
      <c r="R27" s="52">
        <v>0.14705882352941177</v>
      </c>
      <c r="S27" s="72">
        <v>0.2602739726027397</v>
      </c>
    </row>
    <row r="28" spans="2:19" ht="19.5" customHeight="1" x14ac:dyDescent="0.2">
      <c r="M28" s="70" t="s">
        <v>166</v>
      </c>
      <c r="N28" s="44"/>
      <c r="O28" s="45">
        <v>0.3271</v>
      </c>
      <c r="P28" s="46">
        <v>0.42424242424242425</v>
      </c>
      <c r="Q28" s="47">
        <v>0.5217391304347826</v>
      </c>
      <c r="R28" s="48">
        <v>0.23529411764705882</v>
      </c>
      <c r="S28" s="71">
        <v>0.3150684931506849</v>
      </c>
    </row>
    <row r="29" spans="2:19" ht="19.5" customHeight="1" x14ac:dyDescent="0.2">
      <c r="M29" s="70" t="s">
        <v>167</v>
      </c>
      <c r="N29" s="44"/>
      <c r="O29" s="49">
        <v>0.3448</v>
      </c>
      <c r="P29" s="50">
        <v>0.45454545454545453</v>
      </c>
      <c r="Q29" s="51">
        <v>0.5942028985507246</v>
      </c>
      <c r="R29" s="52">
        <v>0.3235294117647059</v>
      </c>
      <c r="S29" s="72">
        <v>0.3424657534246575</v>
      </c>
    </row>
    <row r="30" spans="2:19" ht="19.5" customHeight="1" x14ac:dyDescent="0.2">
      <c r="M30" s="70" t="s">
        <v>168</v>
      </c>
      <c r="N30" s="44"/>
      <c r="O30" s="45">
        <v>0.4466</v>
      </c>
      <c r="P30" s="46">
        <v>0.5303030303030303</v>
      </c>
      <c r="Q30" s="47">
        <v>0.6231884057971014</v>
      </c>
      <c r="R30" s="48">
        <v>0.38235294117647056</v>
      </c>
      <c r="S30" s="71">
        <v>0.3698630136986301</v>
      </c>
    </row>
    <row r="31" spans="2:19" ht="19.5" customHeight="1" x14ac:dyDescent="0.2">
      <c r="M31" s="70" t="s">
        <v>169</v>
      </c>
      <c r="N31" s="44"/>
      <c r="O31" s="49">
        <v>0.5213</v>
      </c>
      <c r="P31" s="50">
        <v>0.6666666666666666</v>
      </c>
      <c r="Q31" s="51">
        <v>0.7246376811594203</v>
      </c>
      <c r="R31" s="52">
        <v>0.4852941176470588</v>
      </c>
      <c r="S31" s="72">
        <v>0.5753424657534246</v>
      </c>
    </row>
    <row r="32" spans="2:19" ht="19.5" customHeight="1" x14ac:dyDescent="0.2">
      <c r="M32" s="70" t="s">
        <v>170</v>
      </c>
      <c r="N32" s="44"/>
      <c r="O32" s="45">
        <v>0.6118</v>
      </c>
      <c r="P32" s="46">
        <v>0.7878787878787878</v>
      </c>
      <c r="Q32" s="47">
        <v>0.7971014492753623</v>
      </c>
      <c r="R32" s="48">
        <v>0.8676470588235294</v>
      </c>
      <c r="S32" s="71">
        <v>0.821917808219178</v>
      </c>
    </row>
    <row r="33" spans="13:19" ht="19.5" customHeight="1" x14ac:dyDescent="0.2">
      <c r="M33" s="70" t="s">
        <v>171</v>
      </c>
      <c r="N33" s="44"/>
      <c r="O33" s="49">
        <v>0.8871</v>
      </c>
      <c r="P33" s="50">
        <v>0.8939393939393939</v>
      </c>
      <c r="Q33" s="51">
        <v>0.9130434782608695</v>
      </c>
      <c r="R33" s="52">
        <v>0.9411764705882353</v>
      </c>
      <c r="S33" s="72">
        <v>0.958904109589041</v>
      </c>
    </row>
    <row r="34" spans="13:19" ht="19.5" customHeight="1" x14ac:dyDescent="0.2">
      <c r="M34" s="70" t="s">
        <v>172</v>
      </c>
      <c r="N34" s="44"/>
      <c r="O34" s="45">
        <v>0.9661</v>
      </c>
      <c r="P34" s="46">
        <v>0.9696969696969697</v>
      </c>
      <c r="Q34" s="47">
        <v>0.9420289855072463</v>
      </c>
      <c r="R34" s="48">
        <v>0.9411764705882353</v>
      </c>
      <c r="S34" s="71">
        <v>0.958904109589041</v>
      </c>
    </row>
    <row r="35" spans="13:19" ht="19.5" customHeight="1" x14ac:dyDescent="0.2">
      <c r="M35" s="70" t="s">
        <v>173</v>
      </c>
      <c r="N35" s="44"/>
      <c r="O35" s="49">
        <v>1.0</v>
      </c>
      <c r="P35" s="50">
        <v>0.9696969696969697</v>
      </c>
      <c r="Q35" s="51">
        <v>0.9855072463768116</v>
      </c>
      <c r="R35" s="52">
        <v>0.9558823529411765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0.9848484848484849</v>
      </c>
      <c r="Q36" s="47">
        <v>0.9855072463768116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0.9848484848484849</v>
      </c>
      <c r="Q37" s="51">
        <v>0.9855072463768116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0.9848484848484849</v>
      </c>
      <c r="Q38" s="47">
        <v>0.9855072463768116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3178-3B94-41AB-BAFF-93366C96A950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BSEDM Class of 2027 Placement</t>
        </is>
      </c>
      <c r="J1" s="30"/>
    </row>
    <row r="21" spans="2:19" ht="27" x14ac:dyDescent="0.35">
      <c r="B21" s="55" t="s">
        <v>180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0.08</v>
      </c>
      <c r="Q25" s="42">
        <v>0.0625</v>
      </c>
      <c r="R25" s="43">
        <v>0.06172839506172839</v>
      </c>
      <c r="S25" s="69">
        <v>0.058823529411764705</v>
      </c>
    </row>
    <row r="26" spans="2:19" ht="19.5" customHeight="1" x14ac:dyDescent="0.2">
      <c r="M26" s="70" t="s">
        <v>164</v>
      </c>
      <c r="N26" s="44"/>
      <c r="O26" s="45"/>
      <c r="P26" s="46">
        <v>0.09</v>
      </c>
      <c r="Q26" s="47">
        <v>0.0625</v>
      </c>
      <c r="R26" s="48">
        <v>0.08641975308641975</v>
      </c>
      <c r="S26" s="71">
        <v>0.07352941176470588</v>
      </c>
    </row>
    <row r="27" spans="2:19" ht="19.5" customHeight="1" x14ac:dyDescent="0.2">
      <c r="M27" s="70" t="s">
        <v>165</v>
      </c>
      <c r="N27" s="44"/>
      <c r="O27" s="49">
        <v>0.1279</v>
      </c>
      <c r="P27" s="50">
        <v>0.1</v>
      </c>
      <c r="Q27" s="51">
        <v>0.0625</v>
      </c>
      <c r="R27" s="52">
        <v>0.12345679012345678</v>
      </c>
      <c r="S27" s="72">
        <v>0.11764705882352941</v>
      </c>
    </row>
    <row r="28" spans="2:19" ht="19.5" customHeight="1" x14ac:dyDescent="0.2">
      <c r="M28" s="70" t="s">
        <v>166</v>
      </c>
      <c r="N28" s="44"/>
      <c r="O28" s="45">
        <v>0.1377</v>
      </c>
      <c r="P28" s="46">
        <v>0.11</v>
      </c>
      <c r="Q28" s="47">
        <v>0.0875</v>
      </c>
      <c r="R28" s="48">
        <v>0.16049382716049382</v>
      </c>
      <c r="S28" s="71">
        <v>0.1323529411764706</v>
      </c>
    </row>
    <row r="29" spans="2:19" ht="19.5" customHeight="1" x14ac:dyDescent="0.2">
      <c r="M29" s="70" t="s">
        <v>167</v>
      </c>
      <c r="N29" s="44"/>
      <c r="O29" s="49">
        <v>0.1768</v>
      </c>
      <c r="P29" s="50">
        <v>0.12</v>
      </c>
      <c r="Q29" s="51">
        <v>0.1125</v>
      </c>
      <c r="R29" s="52">
        <v>0.16049382716049382</v>
      </c>
      <c r="S29" s="72">
        <v>0.16176470588235295</v>
      </c>
    </row>
    <row r="30" spans="2:19" ht="19.5" customHeight="1" x14ac:dyDescent="0.2">
      <c r="M30" s="70" t="s">
        <v>168</v>
      </c>
      <c r="N30" s="44"/>
      <c r="O30" s="45">
        <v>0.1863</v>
      </c>
      <c r="P30" s="46">
        <v>0.2</v>
      </c>
      <c r="Q30" s="47">
        <v>0.25</v>
      </c>
      <c r="R30" s="48">
        <v>0.1728395061728395</v>
      </c>
      <c r="S30" s="71">
        <v>0.19117647058823528</v>
      </c>
    </row>
    <row r="31" spans="2:19" ht="19.5" customHeight="1" x14ac:dyDescent="0.2">
      <c r="M31" s="70" t="s">
        <v>169</v>
      </c>
      <c r="N31" s="44"/>
      <c r="O31" s="49">
        <v>0.1911</v>
      </c>
      <c r="P31" s="50">
        <v>0.24</v>
      </c>
      <c r="Q31" s="51">
        <v>0.2875</v>
      </c>
      <c r="R31" s="52">
        <v>0.1728395061728395</v>
      </c>
      <c r="S31" s="72">
        <v>0.23529411764705882</v>
      </c>
    </row>
    <row r="32" spans="2:19" ht="19.5" customHeight="1" x14ac:dyDescent="0.2">
      <c r="M32" s="70" t="s">
        <v>170</v>
      </c>
      <c r="N32" s="44"/>
      <c r="O32" s="45">
        <v>0.3092</v>
      </c>
      <c r="P32" s="46">
        <v>0.31</v>
      </c>
      <c r="Q32" s="47">
        <v>0.2875</v>
      </c>
      <c r="R32" s="48">
        <v>0.2716049382716049</v>
      </c>
      <c r="S32" s="71">
        <v>0.3235294117647059</v>
      </c>
    </row>
    <row r="33" spans="13:19" ht="19.5" customHeight="1" x14ac:dyDescent="0.2">
      <c r="M33" s="70" t="s">
        <v>171</v>
      </c>
      <c r="N33" s="44"/>
      <c r="O33" s="49">
        <v>0.5328</v>
      </c>
      <c r="P33" s="50">
        <v>0.44</v>
      </c>
      <c r="Q33" s="51">
        <v>0.65</v>
      </c>
      <c r="R33" s="52">
        <v>0.37037037037037035</v>
      </c>
      <c r="S33" s="72">
        <v>0.4117647058823529</v>
      </c>
    </row>
    <row r="34" spans="13:19" ht="19.5" customHeight="1" x14ac:dyDescent="0.2">
      <c r="M34" s="70" t="s">
        <v>172</v>
      </c>
      <c r="N34" s="44"/>
      <c r="O34" s="45">
        <v>0.6748000000000001</v>
      </c>
      <c r="P34" s="46">
        <v>0.51</v>
      </c>
      <c r="Q34" s="47">
        <v>0.6875</v>
      </c>
      <c r="R34" s="48">
        <v>0.4567901234567901</v>
      </c>
      <c r="S34" s="71">
        <v>0.5294117647058824</v>
      </c>
    </row>
    <row r="35" spans="13:19" ht="19.5" customHeight="1" x14ac:dyDescent="0.2">
      <c r="M35" s="70" t="s">
        <v>173</v>
      </c>
      <c r="N35" s="44"/>
      <c r="O35" s="49">
        <v>0.8421</v>
      </c>
      <c r="P35" s="50">
        <v>0.52</v>
      </c>
      <c r="Q35" s="51">
        <v>0.8</v>
      </c>
      <c r="R35" s="52">
        <v>0.5185185185185185</v>
      </c>
      <c r="S35" s="72">
        <v>0.5735294117647058</v>
      </c>
    </row>
    <row r="36" spans="13:19" ht="19.5" customHeight="1" x14ac:dyDescent="0.2">
      <c r="M36" s="70" t="s">
        <v>174</v>
      </c>
      <c r="N36" s="44"/>
      <c r="O36" s="45"/>
      <c r="P36" s="46">
        <v>0.73</v>
      </c>
      <c r="Q36" s="47">
        <v>0.975</v>
      </c>
      <c r="R36" s="48">
        <v>0.7530864197530864</v>
      </c>
      <c r="S36" s="71">
        <v>0.8970588235294118</v>
      </c>
    </row>
    <row r="37" spans="13:19" ht="19.5" customHeight="1" x14ac:dyDescent="0.2">
      <c r="M37" s="70" t="s">
        <v>175</v>
      </c>
      <c r="N37" s="44"/>
      <c r="O37" s="49"/>
      <c r="P37" s="50">
        <v>0.79</v>
      </c>
      <c r="Q37" s="51">
        <v>0.975</v>
      </c>
      <c r="R37" s="52">
        <v>0.7901234567901234</v>
      </c>
      <c r="S37" s="72">
        <v>0.9264705882352942</v>
      </c>
    </row>
    <row r="38" spans="13:19" ht="19.5" customHeight="1" x14ac:dyDescent="0.2">
      <c r="M38" s="70" t="s">
        <v>176</v>
      </c>
      <c r="N38" s="44"/>
      <c r="O38" s="45"/>
      <c r="P38" s="46">
        <v>0.96</v>
      </c>
      <c r="Q38" s="47">
        <v>0.9875</v>
      </c>
      <c r="R38" s="48">
        <v>0.8271604938271605</v>
      </c>
      <c r="S38" s="71">
        <v>0.9558823529411765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7C0A-76DC-4635-8D4A-854D9D076C69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BSEnt Class of 2027 Placement</t>
        </is>
      </c>
      <c r="J1" s="30"/>
    </row>
    <row r="21" spans="2:19" ht="27" x14ac:dyDescent="0.35">
      <c r="B21" s="55" t="s">
        <v>182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0.22727272727272727</v>
      </c>
      <c r="Q25" s="42">
        <v>0.16</v>
      </c>
      <c r="R25" s="43">
        <v>0.1875</v>
      </c>
      <c r="S25" s="69">
        <v>0.15789473684210525</v>
      </c>
    </row>
    <row r="26" spans="2:19" ht="19.5" customHeight="1" x14ac:dyDescent="0.2">
      <c r="M26" s="70" t="s">
        <v>164</v>
      </c>
      <c r="N26" s="44"/>
      <c r="O26" s="45"/>
      <c r="P26" s="46">
        <v>0.22727272727272727</v>
      </c>
      <c r="Q26" s="47">
        <v>0.16</v>
      </c>
      <c r="R26" s="48">
        <v>0.1875</v>
      </c>
      <c r="S26" s="71">
        <v>0.15789473684210525</v>
      </c>
    </row>
    <row r="27" spans="2:19" ht="19.5" customHeight="1" x14ac:dyDescent="0.2">
      <c r="M27" s="70" t="s">
        <v>165</v>
      </c>
      <c r="N27" s="44"/>
      <c r="O27" s="49">
        <v>0.1587</v>
      </c>
      <c r="P27" s="50">
        <v>0.22727272727272727</v>
      </c>
      <c r="Q27" s="51">
        <v>0.2</v>
      </c>
      <c r="R27" s="52">
        <v>0.1875</v>
      </c>
      <c r="S27" s="72">
        <v>0.2631578947368421</v>
      </c>
    </row>
    <row r="28" spans="2:19" ht="19.5" customHeight="1" x14ac:dyDescent="0.2">
      <c r="M28" s="70" t="s">
        <v>166</v>
      </c>
      <c r="N28" s="44"/>
      <c r="O28" s="45">
        <v>0.1406</v>
      </c>
      <c r="P28" s="46">
        <v>0.22727272727272727</v>
      </c>
      <c r="Q28" s="47">
        <v>0.2</v>
      </c>
      <c r="R28" s="48">
        <v>0.25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0.1739</v>
      </c>
      <c r="P29" s="50">
        <v>0.22727272727272727</v>
      </c>
      <c r="Q29" s="51">
        <v>0.2</v>
      </c>
      <c r="R29" s="52">
        <v>0.25</v>
      </c>
      <c r="S29" s="72">
        <v>0.2631578947368421</v>
      </c>
    </row>
    <row r="30" spans="2:19" ht="19.5" customHeight="1" x14ac:dyDescent="0.2">
      <c r="M30" s="70" t="s">
        <v>168</v>
      </c>
      <c r="N30" s="44"/>
      <c r="O30" s="45">
        <v>0.2239</v>
      </c>
      <c r="P30" s="46">
        <v>0.4090909090909091</v>
      </c>
      <c r="Q30" s="47">
        <v>0.2</v>
      </c>
      <c r="R30" s="48">
        <v>0.25</v>
      </c>
      <c r="S30" s="71">
        <v>0.2631578947368421</v>
      </c>
    </row>
    <row r="31" spans="2:19" ht="19.5" customHeight="1" x14ac:dyDescent="0.2">
      <c r="M31" s="70" t="s">
        <v>169</v>
      </c>
      <c r="N31" s="44"/>
      <c r="O31" s="49">
        <v>0.2273</v>
      </c>
      <c r="P31" s="50">
        <v>0.45454545454545453</v>
      </c>
      <c r="Q31" s="51">
        <v>0.28</v>
      </c>
      <c r="R31" s="52">
        <v>0.25</v>
      </c>
      <c r="S31" s="72">
        <v>0.2631578947368421</v>
      </c>
    </row>
    <row r="32" spans="2:19" ht="19.5" customHeight="1" x14ac:dyDescent="0.2">
      <c r="M32" s="70" t="s">
        <v>170</v>
      </c>
      <c r="N32" s="44"/>
      <c r="O32" s="45">
        <v>0.2424</v>
      </c>
      <c r="P32" s="46">
        <v>0.5909090909090909</v>
      </c>
      <c r="Q32" s="47">
        <v>0.32</v>
      </c>
      <c r="R32" s="48">
        <v>0.3125</v>
      </c>
      <c r="S32" s="71">
        <v>0.2631578947368421</v>
      </c>
    </row>
    <row r="33" spans="13:19" ht="19.5" customHeight="1" x14ac:dyDescent="0.2">
      <c r="M33" s="70" t="s">
        <v>171</v>
      </c>
      <c r="N33" s="44"/>
      <c r="O33" s="49">
        <v>0.2857</v>
      </c>
      <c r="P33" s="50">
        <v>0.5909090909090909</v>
      </c>
      <c r="Q33" s="51">
        <v>0.4</v>
      </c>
      <c r="R33" s="52">
        <v>0.375</v>
      </c>
      <c r="S33" s="72">
        <v>0.2631578947368421</v>
      </c>
    </row>
    <row r="34" spans="13:19" ht="19.5" customHeight="1" x14ac:dyDescent="0.2">
      <c r="M34" s="70" t="s">
        <v>172</v>
      </c>
      <c r="N34" s="44"/>
      <c r="O34" s="45">
        <v>0.3509</v>
      </c>
      <c r="P34" s="46">
        <v>0.6363636363636364</v>
      </c>
      <c r="Q34" s="47">
        <v>0.4</v>
      </c>
      <c r="R34" s="48">
        <v>0.8125</v>
      </c>
      <c r="S34" s="71">
        <v>0.2631578947368421</v>
      </c>
    </row>
    <row r="35" spans="13:19" ht="19.5" customHeight="1" x14ac:dyDescent="0.2">
      <c r="M35" s="70" t="s">
        <v>173</v>
      </c>
      <c r="N35" s="44"/>
      <c r="O35" s="49">
        <v>0.5333</v>
      </c>
      <c r="P35" s="50">
        <v>0.6363636363636364</v>
      </c>
      <c r="Q35" s="51">
        <v>0.4</v>
      </c>
      <c r="R35" s="52">
        <v>0.875</v>
      </c>
      <c r="S35" s="72">
        <v>0.3157894736842105</v>
      </c>
    </row>
    <row r="36" spans="13:19" ht="19.5" customHeight="1" x14ac:dyDescent="0.2">
      <c r="M36" s="70" t="s">
        <v>174</v>
      </c>
      <c r="N36" s="44"/>
      <c r="O36" s="45"/>
      <c r="P36" s="46">
        <v>0.6818181818181818</v>
      </c>
      <c r="Q36" s="47">
        <v>1.0</v>
      </c>
      <c r="R36" s="48">
        <v>0.875</v>
      </c>
      <c r="S36" s="71">
        <v>0.7894736842105263</v>
      </c>
    </row>
    <row r="37" spans="13:19" ht="19.5" customHeight="1" x14ac:dyDescent="0.2">
      <c r="M37" s="70" t="s">
        <v>175</v>
      </c>
      <c r="N37" s="44"/>
      <c r="O37" s="49"/>
      <c r="P37" s="50">
        <v>0.9545454545454546</v>
      </c>
      <c r="Q37" s="51">
        <v>1.0</v>
      </c>
      <c r="R37" s="52">
        <v>0.875</v>
      </c>
      <c r="S37" s="72">
        <v>0.7894736842105263</v>
      </c>
    </row>
    <row r="38" spans="13:19" ht="19.5" customHeight="1" x14ac:dyDescent="0.2">
      <c r="M38" s="70" t="s">
        <v>176</v>
      </c>
      <c r="N38" s="44"/>
      <c r="O38" s="45"/>
      <c r="P38" s="46">
        <v>0.9545454545454546</v>
      </c>
      <c r="Q38" s="47">
        <v>1.0</v>
      </c>
      <c r="R38" s="48">
        <v>0.875</v>
      </c>
      <c r="S38" s="71">
        <v>0.7894736842105263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14D-B0C6-4E70-B8A7-510CF9045756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BSFin Class of 2027 Placement</t>
        </is>
      </c>
      <c r="J1" s="30"/>
    </row>
    <row r="21" spans="2:19" ht="27" x14ac:dyDescent="0.35">
      <c r="B21" s="55" t="s">
        <v>184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0.1103</v>
      </c>
      <c r="O25" s="40"/>
      <c r="P25" s="41">
        <v>0.07878787878787878</v>
      </c>
      <c r="Q25" s="42">
        <v>0.06470588235294118</v>
      </c>
      <c r="R25" s="43">
        <v>0.10975609756097561</v>
      </c>
      <c r="S25" s="69">
        <v>0.16770186335403728</v>
      </c>
    </row>
    <row r="26" spans="2:19" ht="19.5" customHeight="1" x14ac:dyDescent="0.2">
      <c r="M26" s="70" t="s">
        <v>164</v>
      </c>
      <c r="N26" s="44"/>
      <c r="O26" s="45"/>
      <c r="P26" s="46">
        <v>0.14545454545454545</v>
      </c>
      <c r="Q26" s="47">
        <v>0.10588235294117647</v>
      </c>
      <c r="R26" s="48">
        <v>0.14634146341463414</v>
      </c>
      <c r="S26" s="71">
        <v>0.2608695652173913</v>
      </c>
    </row>
    <row r="27" spans="2:19" ht="19.5" customHeight="1" x14ac:dyDescent="0.2">
      <c r="M27" s="70" t="s">
        <v>165</v>
      </c>
      <c r="N27" s="44"/>
      <c r="O27" s="49">
        <v>0.2989</v>
      </c>
      <c r="P27" s="50">
        <v>0.3878787878787879</v>
      </c>
      <c r="Q27" s="51">
        <v>0.3176470588235294</v>
      </c>
      <c r="R27" s="52">
        <v>0.2804878048780488</v>
      </c>
      <c r="S27" s="72">
        <v>0.36645962732919257</v>
      </c>
    </row>
    <row r="28" spans="2:19" ht="19.5" customHeight="1" x14ac:dyDescent="0.2">
      <c r="M28" s="70" t="s">
        <v>166</v>
      </c>
      <c r="N28" s="44"/>
      <c r="O28" s="45">
        <v>0.4251</v>
      </c>
      <c r="P28" s="46">
        <v>0.45454545454545453</v>
      </c>
      <c r="Q28" s="47">
        <v>0.3588235294117647</v>
      </c>
      <c r="R28" s="48">
        <v>0.5304878048780488</v>
      </c>
      <c r="S28" s="71">
        <v>0.43478260869565216</v>
      </c>
    </row>
    <row r="29" spans="2:19" ht="19.5" customHeight="1" x14ac:dyDescent="0.2">
      <c r="M29" s="70" t="s">
        <v>167</v>
      </c>
      <c r="N29" s="44"/>
      <c r="O29" s="49">
        <v>0.5365</v>
      </c>
      <c r="P29" s="50">
        <v>0.503030303030303</v>
      </c>
      <c r="Q29" s="51">
        <v>0.4235294117647059</v>
      </c>
      <c r="R29" s="52">
        <v>0.5426829268292683</v>
      </c>
      <c r="S29" s="72">
        <v>0.484472049689441</v>
      </c>
    </row>
    <row r="30" spans="2:19" ht="19.5" customHeight="1" x14ac:dyDescent="0.2">
      <c r="M30" s="70" t="s">
        <v>168</v>
      </c>
      <c r="N30" s="44"/>
      <c r="O30" s="45">
        <v>0.6245</v>
      </c>
      <c r="P30" s="46">
        <v>0.5757575757575758</v>
      </c>
      <c r="Q30" s="47">
        <v>0.5470588235294118</v>
      </c>
      <c r="R30" s="48">
        <v>0.5853658536585366</v>
      </c>
      <c r="S30" s="71">
        <v>0.5279503105590062</v>
      </c>
    </row>
    <row r="31" spans="2:19" ht="19.5" customHeight="1" x14ac:dyDescent="0.2">
      <c r="M31" s="70" t="s">
        <v>169</v>
      </c>
      <c r="N31" s="44"/>
      <c r="O31" s="49">
        <v>0.6833</v>
      </c>
      <c r="P31" s="50">
        <v>0.6121212121212121</v>
      </c>
      <c r="Q31" s="51">
        <v>0.6294117647058823</v>
      </c>
      <c r="R31" s="52">
        <v>0.676829268292683</v>
      </c>
      <c r="S31" s="72">
        <v>0.7080745341614907</v>
      </c>
    </row>
    <row r="32" spans="2:19" ht="19.5" customHeight="1" x14ac:dyDescent="0.2">
      <c r="M32" s="70" t="s">
        <v>170</v>
      </c>
      <c r="N32" s="44"/>
      <c r="O32" s="45">
        <v>0.7944</v>
      </c>
      <c r="P32" s="46">
        <v>0.6848484848484848</v>
      </c>
      <c r="Q32" s="47">
        <v>0.711764705882353</v>
      </c>
      <c r="R32" s="48">
        <v>0.7560975609756098</v>
      </c>
      <c r="S32" s="71">
        <v>0.8136645962732919</v>
      </c>
    </row>
    <row r="33" spans="13:19" ht="19.5" customHeight="1" x14ac:dyDescent="0.2">
      <c r="M33" s="70" t="s">
        <v>171</v>
      </c>
      <c r="N33" s="44"/>
      <c r="O33" s="49">
        <v>0.8835</v>
      </c>
      <c r="P33" s="50">
        <v>0.806060606060606</v>
      </c>
      <c r="Q33" s="51">
        <v>0.7705882352941177</v>
      </c>
      <c r="R33" s="52">
        <v>0.8048780487804879</v>
      </c>
      <c r="S33" s="72">
        <v>0.8695652173913043</v>
      </c>
    </row>
    <row r="34" spans="13:19" ht="19.5" customHeight="1" x14ac:dyDescent="0.2">
      <c r="M34" s="70" t="s">
        <v>172</v>
      </c>
      <c r="N34" s="44"/>
      <c r="O34" s="45">
        <v>0.9104000000000001</v>
      </c>
      <c r="P34" s="46">
        <v>0.8787878787878788</v>
      </c>
      <c r="Q34" s="47">
        <v>0.8294117647058824</v>
      </c>
      <c r="R34" s="48">
        <v>0.8353658536585366</v>
      </c>
      <c r="S34" s="71">
        <v>0.906832298136646</v>
      </c>
    </row>
    <row r="35" spans="13:19" ht="19.5" customHeight="1" x14ac:dyDescent="0.2">
      <c r="M35" s="70" t="s">
        <v>173</v>
      </c>
      <c r="N35" s="44"/>
      <c r="O35" s="49">
        <v>0.9479000000000001</v>
      </c>
      <c r="P35" s="50">
        <v>0.8909090909090909</v>
      </c>
      <c r="Q35" s="51">
        <v>0.888235294117647</v>
      </c>
      <c r="R35" s="52">
        <v>0.8963414634146342</v>
      </c>
      <c r="S35" s="72">
        <v>0.937888198757764</v>
      </c>
    </row>
    <row r="36" spans="13:19" ht="19.5" customHeight="1" x14ac:dyDescent="0.2">
      <c r="M36" s="70" t="s">
        <v>174</v>
      </c>
      <c r="N36" s="44"/>
      <c r="O36" s="45">
        <v>0.9684</v>
      </c>
      <c r="P36" s="46">
        <v>0.9636363636363636</v>
      </c>
      <c r="Q36" s="47">
        <v>0.9588235294117647</v>
      </c>
      <c r="R36" s="48">
        <v>0.9573170731707317</v>
      </c>
      <c r="S36" s="71">
        <v>0.9751552795031055</v>
      </c>
    </row>
    <row r="37" spans="13:19" ht="19.5" customHeight="1" x14ac:dyDescent="0.2">
      <c r="M37" s="70" t="s">
        <v>175</v>
      </c>
      <c r="N37" s="44"/>
      <c r="O37" s="49">
        <v>0.9684</v>
      </c>
      <c r="P37" s="50">
        <v>0.9636363636363636</v>
      </c>
      <c r="Q37" s="51">
        <v>0.9764705882352941</v>
      </c>
      <c r="R37" s="52">
        <v>0.9695121951219512</v>
      </c>
      <c r="S37" s="72">
        <v>0.9751552795031055</v>
      </c>
    </row>
    <row r="38" spans="13:19" ht="19.5" customHeight="1" x14ac:dyDescent="0.2">
      <c r="M38" s="70" t="s">
        <v>176</v>
      </c>
      <c r="N38" s="44"/>
      <c r="O38" s="45"/>
      <c r="P38" s="46">
        <v>0.9757575757575757</v>
      </c>
      <c r="Q38" s="47">
        <v>0.9764705882352941</v>
      </c>
      <c r="R38" s="48">
        <v>0.9817073170731707</v>
      </c>
      <c r="S38" s="71">
        <v>0.9751552795031055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EC87-48EF-4D3A-A3A4-548023180715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BSGSCM Class of 2027 Placement</t>
        </is>
      </c>
      <c r="J1" s="30"/>
    </row>
    <row r="21" spans="2:19" ht="27" x14ac:dyDescent="0.35">
      <c r="B21" s="55" t="s">
        <v>186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0.11711711711711711</v>
      </c>
      <c r="Q25" s="42">
        <v>0.15384615384615385</v>
      </c>
      <c r="R25" s="43">
        <v>0.18055555555555555</v>
      </c>
      <c r="S25" s="69">
        <v>0.189873417721519</v>
      </c>
    </row>
    <row r="26" spans="2:19" ht="19.5" customHeight="1" x14ac:dyDescent="0.2">
      <c r="M26" s="70" t="s">
        <v>164</v>
      </c>
      <c r="N26" s="44"/>
      <c r="O26" s="45"/>
      <c r="P26" s="46">
        <v>0.11711711711711711</v>
      </c>
      <c r="Q26" s="47">
        <v>0.28846153846153844</v>
      </c>
      <c r="R26" s="48">
        <v>0.2361111111111111</v>
      </c>
      <c r="S26" s="71">
        <v>0.3924050632911392</v>
      </c>
    </row>
    <row r="27" spans="2:19" ht="19.5" customHeight="1" x14ac:dyDescent="0.2">
      <c r="M27" s="70" t="s">
        <v>165</v>
      </c>
      <c r="N27" s="44"/>
      <c r="O27" s="49">
        <v>0.2361</v>
      </c>
      <c r="P27" s="50">
        <v>0.15315315315315314</v>
      </c>
      <c r="Q27" s="51">
        <v>0.375</v>
      </c>
      <c r="R27" s="52">
        <v>0.4305555555555556</v>
      </c>
      <c r="S27" s="72">
        <v>0.5569620253164557</v>
      </c>
    </row>
    <row r="28" spans="2:19" ht="19.5" customHeight="1" x14ac:dyDescent="0.2">
      <c r="M28" s="70" t="s">
        <v>166</v>
      </c>
      <c r="N28" s="44"/>
      <c r="O28" s="45">
        <v>0.2778</v>
      </c>
      <c r="P28" s="46">
        <v>0.34234234234234234</v>
      </c>
      <c r="Q28" s="47">
        <v>0.46153846153846156</v>
      </c>
      <c r="R28" s="48">
        <v>0.6111111111111112</v>
      </c>
      <c r="S28" s="71">
        <v>0.6962025316455697</v>
      </c>
    </row>
    <row r="29" spans="2:19" ht="19.5" customHeight="1" x14ac:dyDescent="0.2">
      <c r="M29" s="70" t="s">
        <v>167</v>
      </c>
      <c r="N29" s="44"/>
      <c r="O29" s="49">
        <v>0.3673</v>
      </c>
      <c r="P29" s="50">
        <v>0.36936936936936937</v>
      </c>
      <c r="Q29" s="51">
        <v>0.5096153846153846</v>
      </c>
      <c r="R29" s="52">
        <v>0.6805555555555556</v>
      </c>
      <c r="S29" s="72">
        <v>0.7848101265822784</v>
      </c>
    </row>
    <row r="30" spans="2:19" ht="19.5" customHeight="1" x14ac:dyDescent="0.2">
      <c r="M30" s="70" t="s">
        <v>168</v>
      </c>
      <c r="N30" s="44"/>
      <c r="O30" s="45">
        <v>0.4648</v>
      </c>
      <c r="P30" s="46">
        <v>0.4594594594594595</v>
      </c>
      <c r="Q30" s="47">
        <v>0.6634615384615384</v>
      </c>
      <c r="R30" s="48">
        <v>0.7083333333333334</v>
      </c>
      <c r="S30" s="71">
        <v>0.810126582278481</v>
      </c>
    </row>
    <row r="31" spans="2:19" ht="19.5" customHeight="1" x14ac:dyDescent="0.2">
      <c r="M31" s="70" t="s">
        <v>169</v>
      </c>
      <c r="N31" s="44"/>
      <c r="O31" s="49">
        <v>0.5401</v>
      </c>
      <c r="P31" s="50">
        <v>0.5135135135135135</v>
      </c>
      <c r="Q31" s="51">
        <v>0.7403846153846154</v>
      </c>
      <c r="R31" s="52">
        <v>0.7222222222222222</v>
      </c>
      <c r="S31" s="72">
        <v>0.8734177215189873</v>
      </c>
    </row>
    <row r="32" spans="2:19" ht="19.5" customHeight="1" x14ac:dyDescent="0.2">
      <c r="M32" s="70" t="s">
        <v>170</v>
      </c>
      <c r="N32" s="44"/>
      <c r="O32" s="45">
        <v>0.6176</v>
      </c>
      <c r="P32" s="46">
        <v>0.6216216216216216</v>
      </c>
      <c r="Q32" s="47">
        <v>0.8076923076923077</v>
      </c>
      <c r="R32" s="48">
        <v>0.875</v>
      </c>
      <c r="S32" s="71">
        <v>0.9113924050632911</v>
      </c>
    </row>
    <row r="33" spans="13:19" ht="19.5" customHeight="1" x14ac:dyDescent="0.2">
      <c r="M33" s="70" t="s">
        <v>171</v>
      </c>
      <c r="N33" s="44"/>
      <c r="O33" s="49">
        <v>0.7937</v>
      </c>
      <c r="P33" s="50">
        <v>0.7927927927927928</v>
      </c>
      <c r="Q33" s="51">
        <v>0.8461538461538461</v>
      </c>
      <c r="R33" s="52">
        <v>0.9027777777777778</v>
      </c>
      <c r="S33" s="72">
        <v>0.9746835443037974</v>
      </c>
    </row>
    <row r="34" spans="13:19" ht="19.5" customHeight="1" x14ac:dyDescent="0.2">
      <c r="M34" s="70" t="s">
        <v>172</v>
      </c>
      <c r="N34" s="44"/>
      <c r="O34" s="45">
        <v>0.84</v>
      </c>
      <c r="P34" s="46">
        <v>0.8108108108108109</v>
      </c>
      <c r="Q34" s="47">
        <v>0.8942307692307693</v>
      </c>
      <c r="R34" s="48">
        <v>0.9166666666666666</v>
      </c>
      <c r="S34" s="71">
        <v>0.9873417721518988</v>
      </c>
    </row>
    <row r="35" spans="13:19" ht="19.5" customHeight="1" x14ac:dyDescent="0.2">
      <c r="M35" s="70" t="s">
        <v>173</v>
      </c>
      <c r="N35" s="44"/>
      <c r="O35" s="49">
        <v>0.9167000000000001</v>
      </c>
      <c r="P35" s="50">
        <v>0.8648648648648649</v>
      </c>
      <c r="Q35" s="51">
        <v>0.9230769230769231</v>
      </c>
      <c r="R35" s="52">
        <v>0.9583333333333334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0.9279279279279279</v>
      </c>
      <c r="Q36" s="47">
        <v>0.9423076923076923</v>
      </c>
      <c r="R36" s="48">
        <v>0.9722222222222222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0.9279279279279279</v>
      </c>
      <c r="Q37" s="51">
        <v>0.9423076923076923</v>
      </c>
      <c r="R37" s="52">
        <v>0.9861111111111112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0.963963963963964</v>
      </c>
      <c r="Q38" s="47">
        <v>0.9519230769230769</v>
      </c>
      <c r="R38" s="48">
        <v>0.9861111111111112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4A1E-7E26-4E3D-8882-278531B51A47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BSHRM Class of 2027 Placement</t>
        </is>
      </c>
      <c r="J1" s="30"/>
    </row>
    <row r="21" spans="2:19" ht="27" x14ac:dyDescent="0.35">
      <c r="B21" s="55" t="s">
        <v>188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0.16279069767441862</v>
      </c>
      <c r="Q25" s="42">
        <v>0.11363636363636363</v>
      </c>
      <c r="R25" s="43">
        <v>0.023809523809523808</v>
      </c>
      <c r="S25" s="69">
        <v>0.12195121951219512</v>
      </c>
    </row>
    <row r="26" spans="2:19" ht="19.5" customHeight="1" x14ac:dyDescent="0.2">
      <c r="M26" s="70" t="s">
        <v>164</v>
      </c>
      <c r="N26" s="44"/>
      <c r="O26" s="45"/>
      <c r="P26" s="46">
        <v>0.18604651162790697</v>
      </c>
      <c r="Q26" s="47">
        <v>0.13636363636363635</v>
      </c>
      <c r="R26" s="48">
        <v>0.023809523809523808</v>
      </c>
      <c r="S26" s="71">
        <v>0.12195121951219512</v>
      </c>
    </row>
    <row r="27" spans="2:19" ht="19.5" customHeight="1" x14ac:dyDescent="0.2">
      <c r="M27" s="70" t="s">
        <v>165</v>
      </c>
      <c r="N27" s="44"/>
      <c r="O27" s="49">
        <v>0.1515</v>
      </c>
      <c r="P27" s="50">
        <v>0.23255813953488372</v>
      </c>
      <c r="Q27" s="51">
        <v>0.1590909090909091</v>
      </c>
      <c r="R27" s="52">
        <v>0.07142857142857142</v>
      </c>
      <c r="S27" s="72">
        <v>0.24390243902439024</v>
      </c>
    </row>
    <row r="28" spans="2:19" ht="19.5" customHeight="1" x14ac:dyDescent="0.2">
      <c r="M28" s="70" t="s">
        <v>166</v>
      </c>
      <c r="N28" s="44"/>
      <c r="O28" s="45">
        <v>0.1818</v>
      </c>
      <c r="P28" s="46">
        <v>0.23255813953488372</v>
      </c>
      <c r="Q28" s="47">
        <v>0.2727272727272727</v>
      </c>
      <c r="R28" s="48">
        <v>0.07142857142857142</v>
      </c>
      <c r="S28" s="71">
        <v>0.2926829268292683</v>
      </c>
    </row>
    <row r="29" spans="2:19" ht="19.5" customHeight="1" x14ac:dyDescent="0.2">
      <c r="M29" s="70" t="s">
        <v>167</v>
      </c>
      <c r="N29" s="44"/>
      <c r="O29" s="49">
        <v>0.2464</v>
      </c>
      <c r="P29" s="50">
        <v>0.2558139534883721</v>
      </c>
      <c r="Q29" s="51">
        <v>0.3181818181818182</v>
      </c>
      <c r="R29" s="52">
        <v>0.14285714285714285</v>
      </c>
      <c r="S29" s="72">
        <v>0.2926829268292683</v>
      </c>
    </row>
    <row r="30" spans="2:19" ht="19.5" customHeight="1" x14ac:dyDescent="0.2">
      <c r="M30" s="70" t="s">
        <v>168</v>
      </c>
      <c r="N30" s="44"/>
      <c r="O30" s="45">
        <v>0.3188</v>
      </c>
      <c r="P30" s="46">
        <v>0.46511627906976744</v>
      </c>
      <c r="Q30" s="47">
        <v>0.3181818181818182</v>
      </c>
      <c r="R30" s="48">
        <v>0.14285714285714285</v>
      </c>
      <c r="S30" s="71">
        <v>0.3170731707317073</v>
      </c>
    </row>
    <row r="31" spans="2:19" ht="19.5" customHeight="1" x14ac:dyDescent="0.2">
      <c r="M31" s="70" t="s">
        <v>169</v>
      </c>
      <c r="N31" s="44"/>
      <c r="O31" s="49">
        <v>0.3433</v>
      </c>
      <c r="P31" s="50">
        <v>0.5116279069767442</v>
      </c>
      <c r="Q31" s="51">
        <v>0.3181818181818182</v>
      </c>
      <c r="R31" s="52">
        <v>0.19047619047619047</v>
      </c>
      <c r="S31" s="72">
        <v>0.3902439024390244</v>
      </c>
    </row>
    <row r="32" spans="2:19" ht="19.5" customHeight="1" x14ac:dyDescent="0.2">
      <c r="M32" s="70" t="s">
        <v>170</v>
      </c>
      <c r="N32" s="44"/>
      <c r="O32" s="45">
        <v>0.3731</v>
      </c>
      <c r="P32" s="46">
        <v>0.5813953488372093</v>
      </c>
      <c r="Q32" s="47">
        <v>0.36363636363636365</v>
      </c>
      <c r="R32" s="48">
        <v>0.19047619047619047</v>
      </c>
      <c r="S32" s="71">
        <v>0.43902439024390244</v>
      </c>
    </row>
    <row r="33" spans="13:19" ht="19.5" customHeight="1" x14ac:dyDescent="0.2">
      <c r="M33" s="70" t="s">
        <v>171</v>
      </c>
      <c r="N33" s="44"/>
      <c r="O33" s="49">
        <v>0.5156</v>
      </c>
      <c r="P33" s="50">
        <v>0.5813953488372093</v>
      </c>
      <c r="Q33" s="51">
        <v>0.38636363636363635</v>
      </c>
      <c r="R33" s="52">
        <v>0.19047619047619047</v>
      </c>
      <c r="S33" s="72">
        <v>0.4878048780487805</v>
      </c>
    </row>
    <row r="34" spans="13:19" ht="19.5" customHeight="1" x14ac:dyDescent="0.2">
      <c r="M34" s="70" t="s">
        <v>172</v>
      </c>
      <c r="N34" s="44"/>
      <c r="O34" s="45">
        <v>0.629</v>
      </c>
      <c r="P34" s="46">
        <v>0.5813953488372093</v>
      </c>
      <c r="Q34" s="47">
        <v>0.4318181818181818</v>
      </c>
      <c r="R34" s="48">
        <v>1.0</v>
      </c>
      <c r="S34" s="71">
        <v>0.4878048780487805</v>
      </c>
    </row>
    <row r="35" spans="13:19" ht="19.5" customHeight="1" x14ac:dyDescent="0.2">
      <c r="M35" s="70" t="s">
        <v>173</v>
      </c>
      <c r="N35" s="44"/>
      <c r="O35" s="49">
        <v>0.6884999999999999</v>
      </c>
      <c r="P35" s="50">
        <v>0.6046511627906976</v>
      </c>
      <c r="Q35" s="51">
        <v>0.4772727272727273</v>
      </c>
      <c r="R35" s="52">
        <v>1.0</v>
      </c>
      <c r="S35" s="72">
        <v>0.6585365853658537</v>
      </c>
    </row>
    <row r="36" spans="13:19" ht="19.5" customHeight="1" x14ac:dyDescent="0.2">
      <c r="M36" s="70" t="s">
        <v>174</v>
      </c>
      <c r="N36" s="44"/>
      <c r="O36" s="45"/>
      <c r="P36" s="46">
        <v>0.627906976744186</v>
      </c>
      <c r="Q36" s="47">
        <v>0.9545454545454546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0.9767441860465116</v>
      </c>
      <c r="Q37" s="51">
        <v>0.9545454545454546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0.9767441860465116</v>
      </c>
      <c r="Q38" s="47">
        <v>0.9545454545454546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148B-197F-4E3C-9444-5AB68FAE4637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BSIS Class of 2027 Placement</t>
        </is>
      </c>
      <c r="J1" s="30"/>
    </row>
    <row r="21" spans="2:19" ht="27" x14ac:dyDescent="0.35">
      <c r="B21" s="55" t="s">
        <v>190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</v>
      </c>
      <c r="Q25" s="42">
        <v>0.07058823529411765</v>
      </c>
      <c r="R25" s="43">
        <v>0.06818181818181818</v>
      </c>
      <c r="S25" s="69">
        <v>0.02564102564102564</v>
      </c>
    </row>
    <row r="26" spans="2:19" ht="19.5" customHeight="1" x14ac:dyDescent="0.2">
      <c r="M26" s="70" t="s">
        <v>164</v>
      </c>
      <c r="N26" s="44"/>
      <c r="O26" s="45"/>
      <c r="P26" s="46">
        <v>0.06</v>
      </c>
      <c r="Q26" s="47">
        <v>0.11764705882352941</v>
      </c>
      <c r="R26" s="48">
        <v>0.13636363636363635</v>
      </c>
      <c r="S26" s="71">
        <v>0.05128205128205128</v>
      </c>
    </row>
    <row r="27" spans="2:19" ht="19.5" customHeight="1" x14ac:dyDescent="0.2">
      <c r="M27" s="70" t="s">
        <v>165</v>
      </c>
      <c r="N27" s="44"/>
      <c r="O27" s="49">
        <v>0.2264</v>
      </c>
      <c r="P27" s="50">
        <v>0.1</v>
      </c>
      <c r="Q27" s="51">
        <v>0.17647058823529413</v>
      </c>
      <c r="R27" s="52">
        <v>0.18181818181818182</v>
      </c>
      <c r="S27" s="72">
        <v>0.11538461538461539</v>
      </c>
    </row>
    <row r="28" spans="2:19" ht="19.5" customHeight="1" x14ac:dyDescent="0.2">
      <c r="M28" s="70" t="s">
        <v>166</v>
      </c>
      <c r="N28" s="44"/>
      <c r="O28" s="45">
        <v>0.3007</v>
      </c>
      <c r="P28" s="46">
        <v>0.12</v>
      </c>
      <c r="Q28" s="47">
        <v>0.18823529411764706</v>
      </c>
      <c r="R28" s="48">
        <v>0.26136363636363635</v>
      </c>
      <c r="S28" s="71">
        <v>0.24358974358974358</v>
      </c>
    </row>
    <row r="29" spans="2:19" ht="19.5" customHeight="1" x14ac:dyDescent="0.2">
      <c r="M29" s="70" t="s">
        <v>167</v>
      </c>
      <c r="N29" s="44"/>
      <c r="O29" s="49">
        <v>0.338</v>
      </c>
      <c r="P29" s="50">
        <v>0.17</v>
      </c>
      <c r="Q29" s="51">
        <v>0.2235294117647059</v>
      </c>
      <c r="R29" s="52">
        <v>0.2840909090909091</v>
      </c>
      <c r="S29" s="72">
        <v>0.2948717948717949</v>
      </c>
    </row>
    <row r="30" spans="2:19" ht="19.5" customHeight="1" x14ac:dyDescent="0.2">
      <c r="M30" s="70" t="s">
        <v>168</v>
      </c>
      <c r="N30" s="44"/>
      <c r="O30" s="45">
        <v>0.4234</v>
      </c>
      <c r="P30" s="46">
        <v>0.27</v>
      </c>
      <c r="Q30" s="47">
        <v>0.3176470588235294</v>
      </c>
      <c r="R30" s="48">
        <v>0.29545454545454547</v>
      </c>
      <c r="S30" s="71">
        <v>0.38461538461538464</v>
      </c>
    </row>
    <row r="31" spans="2:19" ht="19.5" customHeight="1" x14ac:dyDescent="0.2">
      <c r="M31" s="70" t="s">
        <v>169</v>
      </c>
      <c r="N31" s="44"/>
      <c r="O31" s="49">
        <v>0.5391</v>
      </c>
      <c r="P31" s="50">
        <v>0.32</v>
      </c>
      <c r="Q31" s="51">
        <v>0.4117647058823529</v>
      </c>
      <c r="R31" s="52">
        <v>0.3181818181818182</v>
      </c>
      <c r="S31" s="72">
        <v>0.41025641025641024</v>
      </c>
    </row>
    <row r="32" spans="2:19" ht="19.5" customHeight="1" x14ac:dyDescent="0.2">
      <c r="M32" s="70" t="s">
        <v>170</v>
      </c>
      <c r="N32" s="44"/>
      <c r="O32" s="45">
        <v>0.6303</v>
      </c>
      <c r="P32" s="46">
        <v>0.44</v>
      </c>
      <c r="Q32" s="47">
        <v>0.4588235294117647</v>
      </c>
      <c r="R32" s="48">
        <v>0.3977272727272727</v>
      </c>
      <c r="S32" s="71">
        <v>0.47435897435897434</v>
      </c>
    </row>
    <row r="33" spans="13:19" ht="19.5" customHeight="1" x14ac:dyDescent="0.2">
      <c r="M33" s="70" t="s">
        <v>171</v>
      </c>
      <c r="N33" s="44"/>
      <c r="O33" s="49">
        <v>0.6917</v>
      </c>
      <c r="P33" s="50">
        <v>0.55</v>
      </c>
      <c r="Q33" s="51">
        <v>0.49411764705882355</v>
      </c>
      <c r="R33" s="52">
        <v>0.4318181818181818</v>
      </c>
      <c r="S33" s="72">
        <v>0.5641025641025641</v>
      </c>
    </row>
    <row r="34" spans="13:19" ht="19.5" customHeight="1" x14ac:dyDescent="0.2">
      <c r="M34" s="70" t="s">
        <v>172</v>
      </c>
      <c r="N34" s="44"/>
      <c r="O34" s="45">
        <v>0.7981999999999999</v>
      </c>
      <c r="P34" s="46">
        <v>0.77</v>
      </c>
      <c r="Q34" s="47">
        <v>0.5058823529411764</v>
      </c>
      <c r="R34" s="48">
        <v>0.6136363636363636</v>
      </c>
      <c r="S34" s="71">
        <v>0.6153846153846154</v>
      </c>
    </row>
    <row r="35" spans="13:19" ht="19.5" customHeight="1" x14ac:dyDescent="0.2">
      <c r="M35" s="70" t="s">
        <v>173</v>
      </c>
      <c r="N35" s="44"/>
      <c r="O35" s="49">
        <v>0.8411</v>
      </c>
      <c r="P35" s="50">
        <v>0.84</v>
      </c>
      <c r="Q35" s="51">
        <v>0.5294117647058824</v>
      </c>
      <c r="R35" s="52">
        <v>0.75</v>
      </c>
      <c r="S35" s="72">
        <v>0.6923076923076923</v>
      </c>
    </row>
    <row r="36" spans="13:19" ht="19.5" customHeight="1" x14ac:dyDescent="0.2">
      <c r="M36" s="70" t="s">
        <v>174</v>
      </c>
      <c r="N36" s="44"/>
      <c r="O36" s="45"/>
      <c r="P36" s="46">
        <v>0.88</v>
      </c>
      <c r="Q36" s="47">
        <v>0.7058823529411765</v>
      </c>
      <c r="R36" s="48">
        <v>0.8977272727272727</v>
      </c>
      <c r="S36" s="71">
        <v>0.9102564102564102</v>
      </c>
    </row>
    <row r="37" spans="13:19" ht="19.5" customHeight="1" x14ac:dyDescent="0.2">
      <c r="M37" s="70" t="s">
        <v>175</v>
      </c>
      <c r="N37" s="44"/>
      <c r="O37" s="49"/>
      <c r="P37" s="50">
        <v>0.91</v>
      </c>
      <c r="Q37" s="51">
        <v>0.7411764705882353</v>
      </c>
      <c r="R37" s="52">
        <v>0.9090909090909091</v>
      </c>
      <c r="S37" s="72">
        <v>0.9230769230769231</v>
      </c>
    </row>
    <row r="38" spans="13:19" ht="19.5" customHeight="1" x14ac:dyDescent="0.2">
      <c r="M38" s="70" t="s">
        <v>176</v>
      </c>
      <c r="N38" s="44"/>
      <c r="O38" s="45"/>
      <c r="P38" s="46">
        <v>0.92</v>
      </c>
      <c r="Q38" s="47">
        <v>0.7411764705882353</v>
      </c>
      <c r="R38" s="48">
        <v>0.9090909090909091</v>
      </c>
      <c r="S38" s="71">
        <v>0.9230769230769231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99E5-F195-47B0-B609-71CA4E07CF34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BSBusM Class of 2027 Placement</t>
        </is>
      </c>
      <c r="J1" s="30"/>
    </row>
    <row r="21" spans="2:19" ht="27" x14ac:dyDescent="0.35">
      <c r="B21" s="55" t="s">
        <v>192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0.1111111111111111</v>
      </c>
      <c r="Q25" s="42">
        <v>0.23809523809523808</v>
      </c>
      <c r="R25" s="43">
        <v>0.16666666666666666</v>
      </c>
      <c r="S25" s="69">
        <v>0.21052631578947367</v>
      </c>
    </row>
    <row r="26" spans="2:19" ht="19.5" customHeight="1" x14ac:dyDescent="0.2">
      <c r="M26" s="70" t="s">
        <v>164</v>
      </c>
      <c r="N26" s="44"/>
      <c r="O26" s="45"/>
      <c r="P26" s="46">
        <v>0.16666666666666666</v>
      </c>
      <c r="Q26" s="47">
        <v>0.23809523809523808</v>
      </c>
      <c r="R26" s="48">
        <v>0.20833333333333334</v>
      </c>
      <c r="S26" s="71">
        <v>0.21052631578947367</v>
      </c>
    </row>
    <row r="27" spans="2:19" ht="19.5" customHeight="1" x14ac:dyDescent="0.2">
      <c r="M27" s="70" t="s">
        <v>165</v>
      </c>
      <c r="N27" s="44"/>
      <c r="O27" s="49">
        <v>0.2319</v>
      </c>
      <c r="P27" s="50">
        <v>0.16666666666666666</v>
      </c>
      <c r="Q27" s="51">
        <v>0.2857142857142857</v>
      </c>
      <c r="R27" s="52">
        <v>0.20833333333333334</v>
      </c>
      <c r="S27" s="72">
        <v>0.21052631578947367</v>
      </c>
    </row>
    <row r="28" spans="2:19" ht="19.5" customHeight="1" x14ac:dyDescent="0.2">
      <c r="M28" s="70" t="s">
        <v>166</v>
      </c>
      <c r="N28" s="44"/>
      <c r="O28" s="45">
        <v>0.2727</v>
      </c>
      <c r="P28" s="46">
        <v>0.16666666666666666</v>
      </c>
      <c r="Q28" s="47">
        <v>0.3333333333333333</v>
      </c>
      <c r="R28" s="48">
        <v>0.20833333333333334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0.2879</v>
      </c>
      <c r="P29" s="50">
        <v>0.2222222222222222</v>
      </c>
      <c r="Q29" s="51">
        <v>0.3333333333333333</v>
      </c>
      <c r="R29" s="52">
        <v>0.20833333333333334</v>
      </c>
      <c r="S29" s="72">
        <v>0.47368421052631576</v>
      </c>
    </row>
    <row r="30" spans="2:19" ht="19.5" customHeight="1" x14ac:dyDescent="0.2">
      <c r="M30" s="70" t="s">
        <v>168</v>
      </c>
      <c r="N30" s="44"/>
      <c r="O30" s="45">
        <v>0.3651</v>
      </c>
      <c r="P30" s="46">
        <v>0.3888888888888889</v>
      </c>
      <c r="Q30" s="47">
        <v>0.5238095238095238</v>
      </c>
      <c r="R30" s="48">
        <v>0.25</v>
      </c>
      <c r="S30" s="71">
        <v>0.5263157894736842</v>
      </c>
    </row>
    <row r="31" spans="2:19" ht="19.5" customHeight="1" x14ac:dyDescent="0.2">
      <c r="M31" s="70" t="s">
        <v>169</v>
      </c>
      <c r="N31" s="44"/>
      <c r="O31" s="49">
        <v>0.36065573770491804</v>
      </c>
      <c r="P31" s="50">
        <v>0.3888888888888889</v>
      </c>
      <c r="Q31" s="51">
        <v>0.6190476190476191</v>
      </c>
      <c r="R31" s="52">
        <v>0.2916666666666667</v>
      </c>
      <c r="S31" s="72">
        <v>0.7368421052631579</v>
      </c>
    </row>
    <row r="32" spans="2:19" ht="19.5" customHeight="1" x14ac:dyDescent="0.2">
      <c r="M32" s="70" t="s">
        <v>170</v>
      </c>
      <c r="N32" s="44"/>
      <c r="O32" s="45">
        <v>0.4423</v>
      </c>
      <c r="P32" s="46">
        <v>0.6111111111111112</v>
      </c>
      <c r="Q32" s="47">
        <v>0.7142857142857143</v>
      </c>
      <c r="R32" s="48">
        <v>0.3333333333333333</v>
      </c>
      <c r="S32" s="71">
        <v>0.8421052631578947</v>
      </c>
    </row>
    <row r="33" spans="13:19" ht="19.5" customHeight="1" x14ac:dyDescent="0.2">
      <c r="M33" s="70" t="s">
        <v>171</v>
      </c>
      <c r="N33" s="44"/>
      <c r="O33" s="49">
        <v>0.5227</v>
      </c>
      <c r="P33" s="50">
        <v>0.6111111111111112</v>
      </c>
      <c r="Q33" s="51">
        <v>0.8095238095238095</v>
      </c>
      <c r="R33" s="52">
        <v>0.625</v>
      </c>
      <c r="S33" s="72">
        <v>1.0</v>
      </c>
    </row>
    <row r="34" spans="13:19" ht="19.5" customHeight="1" x14ac:dyDescent="0.2">
      <c r="M34" s="70" t="s">
        <v>172</v>
      </c>
      <c r="N34" s="44"/>
      <c r="O34" s="45">
        <v>0.6429</v>
      </c>
      <c r="P34" s="46">
        <v>0.6111111111111112</v>
      </c>
      <c r="Q34" s="47">
        <v>0.9523809523809523</v>
      </c>
      <c r="R34" s="48">
        <v>0.7916666666666666</v>
      </c>
      <c r="S34" s="71">
        <v>1.0</v>
      </c>
    </row>
    <row r="35" spans="13:19" ht="19.5" customHeight="1" x14ac:dyDescent="0.2">
      <c r="M35" s="70" t="s">
        <v>173</v>
      </c>
      <c r="N35" s="44"/>
      <c r="O35" s="49">
        <v>0.7</v>
      </c>
      <c r="P35" s="50">
        <v>0.6111111111111112</v>
      </c>
      <c r="Q35" s="51">
        <v>1.0</v>
      </c>
      <c r="R35" s="52">
        <v>0.7916666666666666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1.0</v>
      </c>
      <c r="Q36" s="47">
        <v>1.0</v>
      </c>
      <c r="R36" s="48">
        <v>0.9166666666666666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1.0</v>
      </c>
      <c r="Q37" s="51">
        <v>1.0</v>
      </c>
      <c r="R37" s="52">
        <v>0.9166666666666666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1.0</v>
      </c>
      <c r="Q38" s="47">
        <v>1.0</v>
      </c>
      <c r="R38" s="48">
        <v>0.9583333333333334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EBF1-D646-45C2-BA7E-ED3EC0A03692}">
  <dimension ref="B1:S38"/>
  <sheetViews>
    <sheetView showGridLines="0" topLeftCell="A3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6" width="8.1640625" bestFit="1" customWidth="1"/>
    <col min="17" max="17" width="8.6640625" bestFit="1" customWidth="1"/>
    <col min="18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BSMktg Class of 2027 Placement</t>
        </is>
      </c>
      <c r="J1" s="30"/>
    </row>
    <row r="21" spans="2:19" ht="27" x14ac:dyDescent="0.35">
      <c r="B21" s="55" t="s">
        <v>194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0.3315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0.4431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0.6014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0.7258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0.7815000000000001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0.8223999999999999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0.9714</v>
      </c>
      <c r="Q38" s="47">
        <v>0.9895</v>
      </c>
      <c r="R38" s="48">
        <v>1.0</v>
      </c>
      <c r="S38" s="71">
        <v>0.9885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5E01-F3F6-4C7E-BD01-15D3A6DD733A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BSStrat Class of 2027 Placement</t>
        </is>
      </c>
      <c r="J1" s="30"/>
    </row>
    <row r="21" spans="2:19" ht="27" x14ac:dyDescent="0.35">
      <c r="B21" s="55" t="s">
        <v>196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0.3884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0.4138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0.4386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0.5534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0.6598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0.7976000000000001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0.9523809523809523</v>
      </c>
      <c r="Q38" s="47">
        <v>0.9368421052631579</v>
      </c>
      <c r="R38" s="48">
        <v>0.8518518518518519</v>
      </c>
      <c r="S38" s="71">
        <v>0.9310344827586207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233-3095-4305-A0A5-EC2E735F3025}">
  <dimension ref="B1:S38"/>
  <sheetViews>
    <sheetView showGridLines="0" topLeftCell="A5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MAcc Class of 2027 Placement</t>
        </is>
      </c>
      <c r="J1" s="30"/>
    </row>
    <row r="21" spans="2:19" ht="27" x14ac:dyDescent="0.35">
      <c r="B21" s="55" t="s">
        <v>198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0.127</v>
      </c>
      <c r="Q25" s="42">
        <v>0.1656</v>
      </c>
      <c r="R25" s="43">
        <v>0.1053</v>
      </c>
      <c r="S25" s="69">
        <v>0.2013</v>
      </c>
    </row>
    <row r="26" spans="2:19" ht="19.5" customHeight="1" x14ac:dyDescent="0.2">
      <c r="M26" s="70" t="s">
        <v>164</v>
      </c>
      <c r="N26" s="44"/>
      <c r="O26" s="45"/>
      <c r="P26" s="46">
        <v>0.2063</v>
      </c>
      <c r="Q26" s="47">
        <v>0.362</v>
      </c>
      <c r="R26" s="48">
        <v>0.1513</v>
      </c>
      <c r="S26" s="71">
        <v>0.3899</v>
      </c>
    </row>
    <row r="27" spans="2:19" ht="19.5" customHeight="1" x14ac:dyDescent="0.2">
      <c r="M27" s="70" t="s">
        <v>165</v>
      </c>
      <c r="N27" s="44"/>
      <c r="O27" s="49">
        <v>0.4201</v>
      </c>
      <c r="P27" s="50">
        <v>0.2751</v>
      </c>
      <c r="Q27" s="51">
        <v>0.4172</v>
      </c>
      <c r="R27" s="52">
        <v>0.2039</v>
      </c>
      <c r="S27" s="72">
        <v>0.4277</v>
      </c>
    </row>
    <row r="28" spans="2:19" ht="19.5" customHeight="1" x14ac:dyDescent="0.2">
      <c r="M28" s="70" t="s">
        <v>166</v>
      </c>
      <c r="N28" s="44"/>
      <c r="O28" s="45">
        <v>0.4541</v>
      </c>
      <c r="P28" s="46">
        <v>0.4392</v>
      </c>
      <c r="Q28" s="47">
        <v>0.4294</v>
      </c>
      <c r="R28" s="48">
        <v>0.3618</v>
      </c>
      <c r="S28" s="71">
        <v>0.4465</v>
      </c>
    </row>
    <row r="29" spans="2:19" ht="19.5" customHeight="1" x14ac:dyDescent="0.2">
      <c r="M29" s="70" t="s">
        <v>167</v>
      </c>
      <c r="N29" s="44"/>
      <c r="O29" s="49">
        <v>0.4654</v>
      </c>
      <c r="P29" s="50">
        <v>0.4603</v>
      </c>
      <c r="Q29" s="51">
        <v>0.5644</v>
      </c>
      <c r="R29" s="52">
        <v>0.3882</v>
      </c>
      <c r="S29" s="72">
        <v>0.4717</v>
      </c>
    </row>
    <row r="30" spans="2:19" ht="19.5" customHeight="1" x14ac:dyDescent="0.2">
      <c r="M30" s="70" t="s">
        <v>168</v>
      </c>
      <c r="N30" s="44"/>
      <c r="O30" s="45">
        <v>0.783</v>
      </c>
      <c r="P30" s="46">
        <v>0.7143</v>
      </c>
      <c r="Q30" s="47">
        <v>0.681</v>
      </c>
      <c r="R30" s="48">
        <v>0.5461</v>
      </c>
      <c r="S30" s="71">
        <v>0.4906</v>
      </c>
    </row>
    <row r="31" spans="2:19" ht="19.5" customHeight="1" x14ac:dyDescent="0.2">
      <c r="M31" s="70" t="s">
        <v>169</v>
      </c>
      <c r="N31" s="44"/>
      <c r="O31" s="49">
        <v>0.8638</v>
      </c>
      <c r="P31" s="50">
        <v>0.8836</v>
      </c>
      <c r="Q31" s="51">
        <v>0.8344</v>
      </c>
      <c r="R31" s="52">
        <v>0.6842</v>
      </c>
      <c r="S31" s="72">
        <v>0.717</v>
      </c>
    </row>
    <row r="32" spans="2:19" ht="19.5" customHeight="1" x14ac:dyDescent="0.2">
      <c r="M32" s="70" t="s">
        <v>170</v>
      </c>
      <c r="N32" s="44"/>
      <c r="O32" s="45">
        <v>0.9147</v>
      </c>
      <c r="P32" s="46">
        <v>0.9471</v>
      </c>
      <c r="Q32" s="47">
        <v>0.9509</v>
      </c>
      <c r="R32" s="48">
        <v>0.9474</v>
      </c>
      <c r="S32" s="71">
        <v>0.9371</v>
      </c>
    </row>
    <row r="33" spans="13:19" ht="19.5" customHeight="1" x14ac:dyDescent="0.2">
      <c r="M33" s="70" t="s">
        <v>171</v>
      </c>
      <c r="N33" s="44"/>
      <c r="O33" s="49">
        <v>0.9662</v>
      </c>
      <c r="P33" s="50">
        <v>0.963</v>
      </c>
      <c r="Q33" s="51">
        <v>0.9693</v>
      </c>
      <c r="R33" s="52">
        <v>0.9671</v>
      </c>
      <c r="S33" s="72">
        <v>0.9748</v>
      </c>
    </row>
    <row r="34" spans="13:19" ht="19.5" customHeight="1" x14ac:dyDescent="0.2">
      <c r="M34" s="70" t="s">
        <v>172</v>
      </c>
      <c r="N34" s="44"/>
      <c r="O34" s="45">
        <v>0.9806999999999999</v>
      </c>
      <c r="P34" s="46">
        <v>0.9841</v>
      </c>
      <c r="Q34" s="47">
        <v>0.9755</v>
      </c>
      <c r="R34" s="48">
        <v>0.9803</v>
      </c>
      <c r="S34" s="71">
        <v>0.9811</v>
      </c>
    </row>
    <row r="35" spans="13:19" ht="19.5" customHeight="1" x14ac:dyDescent="0.2">
      <c r="M35" s="70" t="s">
        <v>173</v>
      </c>
      <c r="N35" s="44"/>
      <c r="O35" s="49">
        <v>0.9903</v>
      </c>
      <c r="P35" s="50">
        <v>0.9894</v>
      </c>
      <c r="Q35" s="51">
        <v>1.0</v>
      </c>
      <c r="R35" s="52">
        <v>0.9868</v>
      </c>
      <c r="S35" s="72">
        <v>0.9937</v>
      </c>
    </row>
    <row r="36" spans="13:19" ht="19.5" customHeight="1" x14ac:dyDescent="0.2">
      <c r="M36" s="70" t="s">
        <v>174</v>
      </c>
      <c r="N36" s="44"/>
      <c r="O36" s="45"/>
      <c r="P36" s="46">
        <v>0.9947</v>
      </c>
      <c r="Q36" s="47">
        <v>1.0</v>
      </c>
      <c r="R36" s="48">
        <v>0.9868</v>
      </c>
      <c r="S36" s="71">
        <v>0.9937</v>
      </c>
    </row>
    <row r="37" spans="13:19" ht="19.5" customHeight="1" x14ac:dyDescent="0.2">
      <c r="M37" s="70" t="s">
        <v>175</v>
      </c>
      <c r="N37" s="44"/>
      <c r="O37" s="49"/>
      <c r="P37" s="50">
        <v>0.9947</v>
      </c>
      <c r="Q37" s="51">
        <v>1.0</v>
      </c>
      <c r="R37" s="52">
        <v>0.9868</v>
      </c>
      <c r="S37" s="72">
        <v>0.9937</v>
      </c>
    </row>
    <row r="38" spans="13:19" ht="19.5" customHeight="1" x14ac:dyDescent="0.2">
      <c r="M38" s="70" t="s">
        <v>176</v>
      </c>
      <c r="N38" s="44"/>
      <c r="O38" s="45"/>
      <c r="P38" s="46">
        <v>0.9947</v>
      </c>
      <c r="Q38" s="47">
        <v>1.0</v>
      </c>
      <c r="R38" s="48">
        <v>0.9868</v>
      </c>
      <c r="S38" s="71">
        <v>0.9937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D0F8-D85A-45A6-B5DB-6B9E9C5D6E9C}">
  <dimension ref="B1:S38"/>
  <sheetViews>
    <sheetView showGridLines="0" topLeftCell="A4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MBA Class of 2027 Placement</t>
        </is>
      </c>
      <c r="J1" s="30"/>
    </row>
    <row r="21" spans="2:19" ht="27" x14ac:dyDescent="0.35">
      <c r="B21" s="55" t="s">
        <v>200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0.0575</v>
      </c>
      <c r="Q25" s="42">
        <v>0.0533</v>
      </c>
      <c r="R25" s="43">
        <v>0.0323</v>
      </c>
      <c r="S25" s="69">
        <v>0.0584</v>
      </c>
    </row>
    <row r="26" spans="2:19" ht="19.5" customHeight="1" x14ac:dyDescent="0.2">
      <c r="M26" s="70" t="s">
        <v>164</v>
      </c>
      <c r="N26" s="44"/>
      <c r="O26" s="45"/>
      <c r="P26" s="46">
        <v>0.1034</v>
      </c>
      <c r="Q26" s="47">
        <v>0.08</v>
      </c>
      <c r="R26" s="48">
        <v>0.0645</v>
      </c>
      <c r="S26" s="71">
        <v>0.2336</v>
      </c>
    </row>
    <row r="27" spans="2:19" ht="19.5" customHeight="1" x14ac:dyDescent="0.2">
      <c r="M27" s="70" t="s">
        <v>165</v>
      </c>
      <c r="N27" s="44"/>
      <c r="O27" s="49">
        <v>0.3014</v>
      </c>
      <c r="P27" s="50">
        <v>0.2414</v>
      </c>
      <c r="Q27" s="51">
        <v>0.2533</v>
      </c>
      <c r="R27" s="52">
        <v>0.371</v>
      </c>
      <c r="S27" s="72">
        <v>0.3431</v>
      </c>
    </row>
    <row r="28" spans="2:19" ht="19.5" customHeight="1" x14ac:dyDescent="0.2">
      <c r="M28" s="70" t="s">
        <v>166</v>
      </c>
      <c r="N28" s="44"/>
      <c r="O28" s="45">
        <v>0.3425</v>
      </c>
      <c r="P28" s="46">
        <v>0.3103</v>
      </c>
      <c r="Q28" s="47">
        <v>0.36</v>
      </c>
      <c r="R28" s="48">
        <v>0.4758</v>
      </c>
      <c r="S28" s="71">
        <v>0.4818</v>
      </c>
    </row>
    <row r="29" spans="2:19" ht="19.5" customHeight="1" x14ac:dyDescent="0.2">
      <c r="M29" s="70" t="s">
        <v>167</v>
      </c>
      <c r="N29" s="44"/>
      <c r="O29" s="49">
        <v>0.4384</v>
      </c>
      <c r="P29" s="50">
        <v>0.3333</v>
      </c>
      <c r="Q29" s="51">
        <v>0.4933</v>
      </c>
      <c r="R29" s="52">
        <v>0.4919</v>
      </c>
      <c r="S29" s="72">
        <v>0.5109</v>
      </c>
    </row>
    <row r="30" spans="2:19" ht="19.5" customHeight="1" x14ac:dyDescent="0.2">
      <c r="M30" s="70" t="s">
        <v>168</v>
      </c>
      <c r="N30" s="44"/>
      <c r="O30" s="45">
        <v>0.4795</v>
      </c>
      <c r="P30" s="46">
        <v>0.4253</v>
      </c>
      <c r="Q30" s="47">
        <v>0.5067</v>
      </c>
      <c r="R30" s="48">
        <v>0.5161</v>
      </c>
      <c r="S30" s="71">
        <v>0.5912</v>
      </c>
    </row>
    <row r="31" spans="2:19" ht="19.5" customHeight="1" x14ac:dyDescent="0.2">
      <c r="M31" s="70" t="s">
        <v>169</v>
      </c>
      <c r="N31" s="44"/>
      <c r="O31" s="49">
        <v>0.5139</v>
      </c>
      <c r="P31" s="50">
        <v>0.5057</v>
      </c>
      <c r="Q31" s="51">
        <v>0.5333</v>
      </c>
      <c r="R31" s="52">
        <v>0.5484</v>
      </c>
      <c r="S31" s="72">
        <v>0.6496</v>
      </c>
    </row>
    <row r="32" spans="2:19" ht="19.5" customHeight="1" x14ac:dyDescent="0.2">
      <c r="M32" s="70" t="s">
        <v>170</v>
      </c>
      <c r="N32" s="44"/>
      <c r="O32" s="45">
        <v>0.6087</v>
      </c>
      <c r="P32" s="46">
        <v>0.5402</v>
      </c>
      <c r="Q32" s="47">
        <v>0.5733</v>
      </c>
      <c r="R32" s="48">
        <v>0.5887</v>
      </c>
      <c r="S32" s="71">
        <v>0.708</v>
      </c>
    </row>
    <row r="33" spans="13:19" ht="19.5" customHeight="1" x14ac:dyDescent="0.2">
      <c r="M33" s="70" t="s">
        <v>171</v>
      </c>
      <c r="N33" s="44"/>
      <c r="O33" s="49">
        <v>0.6667</v>
      </c>
      <c r="P33" s="50">
        <v>0.6092</v>
      </c>
      <c r="Q33" s="51">
        <v>0.68</v>
      </c>
      <c r="R33" s="52">
        <v>0.7177</v>
      </c>
      <c r="S33" s="72">
        <v>0.7664</v>
      </c>
    </row>
    <row r="34" spans="13:19" ht="19.5" customHeight="1" x14ac:dyDescent="0.2">
      <c r="M34" s="70" t="s">
        <v>172</v>
      </c>
      <c r="N34" s="44"/>
      <c r="O34" s="45">
        <v>0.7245999999999999</v>
      </c>
      <c r="P34" s="46">
        <v>0.7011</v>
      </c>
      <c r="Q34" s="47">
        <v>0.7333</v>
      </c>
      <c r="R34" s="48">
        <v>0.7903</v>
      </c>
      <c r="S34" s="71">
        <v>0.8686</v>
      </c>
    </row>
    <row r="35" spans="13:19" ht="19.5" customHeight="1" x14ac:dyDescent="0.2">
      <c r="M35" s="70" t="s">
        <v>173</v>
      </c>
      <c r="N35" s="44"/>
      <c r="O35" s="49">
        <v>0.7940999999999999</v>
      </c>
      <c r="P35" s="50">
        <v>0.7931</v>
      </c>
      <c r="Q35" s="51">
        <v>0.8</v>
      </c>
      <c r="R35" s="52">
        <v>0.8306</v>
      </c>
      <c r="S35" s="72">
        <v>0.927</v>
      </c>
    </row>
    <row r="36" spans="13:19" ht="19.5" customHeight="1" x14ac:dyDescent="0.2">
      <c r="M36" s="70" t="s">
        <v>174</v>
      </c>
      <c r="N36" s="44"/>
      <c r="O36" s="45"/>
      <c r="P36" s="46">
        <v>0.8276</v>
      </c>
      <c r="Q36" s="47">
        <v>0.8533</v>
      </c>
      <c r="R36" s="48">
        <v>0.8871</v>
      </c>
      <c r="S36" s="71">
        <v>0.9562</v>
      </c>
    </row>
    <row r="37" spans="13:19" ht="19.5" customHeight="1" x14ac:dyDescent="0.2">
      <c r="M37" s="70" t="s">
        <v>175</v>
      </c>
      <c r="N37" s="44"/>
      <c r="O37" s="49"/>
      <c r="P37" s="50">
        <v>0.8621</v>
      </c>
      <c r="Q37" s="51">
        <v>0.88</v>
      </c>
      <c r="R37" s="52">
        <v>0.9113</v>
      </c>
      <c r="S37" s="72">
        <v>0.9708</v>
      </c>
    </row>
    <row r="38" spans="13:19" ht="19.5" customHeight="1" x14ac:dyDescent="0.2">
      <c r="M38" s="70" t="s">
        <v>176</v>
      </c>
      <c r="N38" s="44"/>
      <c r="O38" s="45"/>
      <c r="P38" s="46">
        <v>0.8736</v>
      </c>
      <c r="Q38" s="47">
        <v>0.88</v>
      </c>
      <c r="R38" s="48">
        <v>0.9435</v>
      </c>
      <c r="S38" s="71">
        <v>0.9854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617-FA18-414D-95A8-3C9232F3621D}">
  <dimension ref="B1:S38"/>
  <sheetViews>
    <sheetView showGridLines="0" topLeftCell="A8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MISM Class of 2027 Placement</t>
        </is>
      </c>
      <c r="J1" s="30"/>
    </row>
    <row r="21" spans="2:19" ht="27" x14ac:dyDescent="0.35">
      <c r="B21" s="55" t="s">
        <v>202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0.044</v>
      </c>
      <c r="Q25" s="42">
        <v>0.0957</v>
      </c>
      <c r="R25" s="43">
        <v>0.069</v>
      </c>
      <c r="S25" s="69">
        <v>0.0698</v>
      </c>
    </row>
    <row r="26" spans="2:19" ht="19.5" customHeight="1" x14ac:dyDescent="0.2">
      <c r="M26" s="70" t="s">
        <v>164</v>
      </c>
      <c r="N26" s="44"/>
      <c r="O26" s="45"/>
      <c r="P26" s="46">
        <v>0.0769</v>
      </c>
      <c r="Q26" s="47">
        <v>0.1596</v>
      </c>
      <c r="R26" s="48">
        <v>0.1034</v>
      </c>
      <c r="S26" s="71">
        <v>0.1279</v>
      </c>
    </row>
    <row r="27" spans="2:19" ht="19.5" customHeight="1" x14ac:dyDescent="0.2">
      <c r="M27" s="70" t="s">
        <v>165</v>
      </c>
      <c r="N27" s="44"/>
      <c r="O27" s="49">
        <v>0.14</v>
      </c>
      <c r="P27" s="50">
        <v>0.0989</v>
      </c>
      <c r="Q27" s="51">
        <v>0.1809</v>
      </c>
      <c r="R27" s="52">
        <v>0.1379</v>
      </c>
      <c r="S27" s="72">
        <v>0.1977</v>
      </c>
    </row>
    <row r="28" spans="2:19" ht="19.5" customHeight="1" x14ac:dyDescent="0.2">
      <c r="M28" s="70" t="s">
        <v>166</v>
      </c>
      <c r="N28" s="44"/>
      <c r="O28" s="45">
        <v>0.2062</v>
      </c>
      <c r="P28" s="46">
        <v>0.1319</v>
      </c>
      <c r="Q28" s="47">
        <v>0.2766</v>
      </c>
      <c r="R28" s="48">
        <v>0.2069</v>
      </c>
      <c r="S28" s="71">
        <v>0.3372</v>
      </c>
    </row>
    <row r="29" spans="2:19" ht="19.5" customHeight="1" x14ac:dyDescent="0.2">
      <c r="M29" s="70" t="s">
        <v>167</v>
      </c>
      <c r="N29" s="44"/>
      <c r="O29" s="49">
        <v>0.2551</v>
      </c>
      <c r="P29" s="50">
        <v>0.1429</v>
      </c>
      <c r="Q29" s="51">
        <v>0.2872</v>
      </c>
      <c r="R29" s="52">
        <v>0.2414</v>
      </c>
      <c r="S29" s="72">
        <v>0.3605</v>
      </c>
    </row>
    <row r="30" spans="2:19" ht="19.5" customHeight="1" x14ac:dyDescent="0.2">
      <c r="M30" s="70" t="s">
        <v>168</v>
      </c>
      <c r="N30" s="44"/>
      <c r="O30" s="45">
        <v>0.4078</v>
      </c>
      <c r="P30" s="46">
        <v>0.3187</v>
      </c>
      <c r="Q30" s="47">
        <v>0.3723</v>
      </c>
      <c r="R30" s="48">
        <v>0.3333</v>
      </c>
      <c r="S30" s="71">
        <v>0.4767</v>
      </c>
    </row>
    <row r="31" spans="2:19" ht="19.5" customHeight="1" x14ac:dyDescent="0.2">
      <c r="M31" s="70" t="s">
        <v>169</v>
      </c>
      <c r="N31" s="44"/>
      <c r="O31" s="49">
        <v>0.4466</v>
      </c>
      <c r="P31" s="50">
        <v>0.3407</v>
      </c>
      <c r="Q31" s="51">
        <v>0.4362</v>
      </c>
      <c r="R31" s="52">
        <v>0.3563</v>
      </c>
      <c r="S31" s="72">
        <v>0.5233</v>
      </c>
    </row>
    <row r="32" spans="2:19" ht="19.5" customHeight="1" x14ac:dyDescent="0.2">
      <c r="M32" s="70" t="s">
        <v>170</v>
      </c>
      <c r="N32" s="44"/>
      <c r="O32" s="45">
        <v>0.5446</v>
      </c>
      <c r="P32" s="46">
        <v>0.5385</v>
      </c>
      <c r="Q32" s="47">
        <v>0.617</v>
      </c>
      <c r="R32" s="48">
        <v>0.6667</v>
      </c>
      <c r="S32" s="71">
        <v>0.7326</v>
      </c>
    </row>
    <row r="33" spans="13:19" ht="19.5" customHeight="1" x14ac:dyDescent="0.2">
      <c r="M33" s="70" t="s">
        <v>171</v>
      </c>
      <c r="N33" s="44"/>
      <c r="O33" s="49">
        <v>0.6699</v>
      </c>
      <c r="P33" s="50">
        <v>0.6484</v>
      </c>
      <c r="Q33" s="51">
        <v>0.6702</v>
      </c>
      <c r="R33" s="52">
        <v>0.6897</v>
      </c>
      <c r="S33" s="72">
        <v>0.8256</v>
      </c>
    </row>
    <row r="34" spans="13:19" ht="19.5" customHeight="1" x14ac:dyDescent="0.2">
      <c r="M34" s="70" t="s">
        <v>172</v>
      </c>
      <c r="N34" s="44"/>
      <c r="O34" s="45">
        <v>0.7912</v>
      </c>
      <c r="P34" s="46">
        <v>0.7033</v>
      </c>
      <c r="Q34" s="47">
        <v>0.6915</v>
      </c>
      <c r="R34" s="48">
        <v>0.7241</v>
      </c>
      <c r="S34" s="71">
        <v>0.907</v>
      </c>
    </row>
    <row r="35" spans="13:19" ht="19.5" customHeight="1" x14ac:dyDescent="0.2">
      <c r="M35" s="70" t="s">
        <v>173</v>
      </c>
      <c r="N35" s="44"/>
      <c r="O35" s="49">
        <v>0.8151999999999999</v>
      </c>
      <c r="P35" s="50">
        <v>0.8132</v>
      </c>
      <c r="Q35" s="51">
        <v>0.7128</v>
      </c>
      <c r="R35" s="52">
        <v>0.8161</v>
      </c>
      <c r="S35" s="72">
        <v>0.9651</v>
      </c>
    </row>
    <row r="36" spans="13:19" ht="19.5" customHeight="1" x14ac:dyDescent="0.2">
      <c r="M36" s="70" t="s">
        <v>174</v>
      </c>
      <c r="N36" s="44"/>
      <c r="O36" s="45"/>
      <c r="P36" s="46">
        <v>0.8901</v>
      </c>
      <c r="Q36" s="47">
        <v>0.883</v>
      </c>
      <c r="R36" s="48">
        <v>0.931</v>
      </c>
      <c r="S36" s="71">
        <v>1.0116</v>
      </c>
    </row>
    <row r="37" spans="13:19" ht="19.5" customHeight="1" x14ac:dyDescent="0.2">
      <c r="M37" s="70" t="s">
        <v>175</v>
      </c>
      <c r="N37" s="44"/>
      <c r="O37" s="49"/>
      <c r="P37" s="50">
        <v>0.9451</v>
      </c>
      <c r="Q37" s="51">
        <v>0.9043</v>
      </c>
      <c r="R37" s="52">
        <v>0.9425</v>
      </c>
      <c r="S37" s="72">
        <v>1.0116</v>
      </c>
    </row>
    <row r="38" spans="13:19" ht="19.5" customHeight="1" x14ac:dyDescent="0.2">
      <c r="M38" s="70" t="s">
        <v>176</v>
      </c>
      <c r="N38" s="44"/>
      <c r="O38" s="45"/>
      <c r="P38" s="46">
        <v>0.9451</v>
      </c>
      <c r="Q38" s="47">
        <v>0.9043</v>
      </c>
      <c r="R38" s="48">
        <v>0.9425</v>
      </c>
      <c r="S38" s="71">
        <v>1.0116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76C8-0F19-4513-82F0-CB1BDAEC043F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MPA Class of 2027 Placement</t>
        </is>
      </c>
      <c r="J1" s="30"/>
    </row>
    <row r="21" spans="2:19" ht="27" x14ac:dyDescent="0.35">
      <c r="B21" s="55" t="s">
        <v>204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</v>
      </c>
      <c r="Q25" s="42">
        <v>0.0909</v>
      </c>
      <c r="R25" s="43">
        <v>0.0</v>
      </c>
      <c r="S25" s="69">
        <v>0.0294</v>
      </c>
    </row>
    <row r="26" spans="2:19" ht="19.5" customHeight="1" x14ac:dyDescent="0.2">
      <c r="M26" s="70" t="s">
        <v>164</v>
      </c>
      <c r="N26" s="44"/>
      <c r="O26" s="45"/>
      <c r="P26" s="46">
        <v>0.0</v>
      </c>
      <c r="Q26" s="47">
        <v>0.0909</v>
      </c>
      <c r="R26" s="48">
        <v>0.0</v>
      </c>
      <c r="S26" s="71">
        <v>0.0294</v>
      </c>
    </row>
    <row r="27" spans="2:19" ht="19.5" customHeight="1" x14ac:dyDescent="0.2">
      <c r="M27" s="70" t="s">
        <v>165</v>
      </c>
      <c r="N27" s="44"/>
      <c r="O27" s="49">
        <v>0.0294</v>
      </c>
      <c r="P27" s="50">
        <v>0.0</v>
      </c>
      <c r="Q27" s="51">
        <v>0.1212</v>
      </c>
      <c r="R27" s="52">
        <v>0.0333</v>
      </c>
      <c r="S27" s="72">
        <v>0.0294</v>
      </c>
    </row>
    <row r="28" spans="2:19" ht="19.5" customHeight="1" x14ac:dyDescent="0.2">
      <c r="M28" s="70" t="s">
        <v>166</v>
      </c>
      <c r="N28" s="44"/>
      <c r="O28" s="45">
        <v>0.0294</v>
      </c>
      <c r="P28" s="46">
        <v>0.0667</v>
      </c>
      <c r="Q28" s="47">
        <v>0.1212</v>
      </c>
      <c r="R28" s="48">
        <v>0.1</v>
      </c>
      <c r="S28" s="71">
        <v>0.0588</v>
      </c>
    </row>
    <row r="29" spans="2:19" ht="19.5" customHeight="1" x14ac:dyDescent="0.2">
      <c r="M29" s="70" t="s">
        <v>167</v>
      </c>
      <c r="N29" s="44"/>
      <c r="O29" s="49">
        <v>0.0625</v>
      </c>
      <c r="P29" s="50">
        <v>0.1</v>
      </c>
      <c r="Q29" s="51">
        <v>0.1515</v>
      </c>
      <c r="R29" s="52">
        <v>0.1</v>
      </c>
      <c r="S29" s="72">
        <v>0.1176</v>
      </c>
    </row>
    <row r="30" spans="2:19" ht="19.5" customHeight="1" x14ac:dyDescent="0.2">
      <c r="M30" s="70" t="s">
        <v>168</v>
      </c>
      <c r="N30" s="44"/>
      <c r="O30" s="45">
        <v>0.0645</v>
      </c>
      <c r="P30" s="46">
        <v>0.1333</v>
      </c>
      <c r="Q30" s="47">
        <v>0.2121</v>
      </c>
      <c r="R30" s="48">
        <v>0.1</v>
      </c>
      <c r="S30" s="71">
        <v>0.1765</v>
      </c>
    </row>
    <row r="31" spans="2:19" ht="19.5" customHeight="1" x14ac:dyDescent="0.2">
      <c r="M31" s="70" t="s">
        <v>169</v>
      </c>
      <c r="N31" s="44"/>
      <c r="O31" s="49">
        <v>0.1515</v>
      </c>
      <c r="P31" s="50">
        <v>0.2</v>
      </c>
      <c r="Q31" s="51">
        <v>0.2727</v>
      </c>
      <c r="R31" s="52">
        <v>0.1333</v>
      </c>
      <c r="S31" s="72">
        <v>0.2647</v>
      </c>
    </row>
    <row r="32" spans="2:19" ht="19.5" customHeight="1" x14ac:dyDescent="0.2">
      <c r="M32" s="70" t="s">
        <v>170</v>
      </c>
      <c r="N32" s="44"/>
      <c r="O32" s="45">
        <v>0.25</v>
      </c>
      <c r="P32" s="46">
        <v>0.3</v>
      </c>
      <c r="Q32" s="47">
        <v>0.5152</v>
      </c>
      <c r="R32" s="48">
        <v>0.2667</v>
      </c>
      <c r="S32" s="71">
        <v>0.3824</v>
      </c>
    </row>
    <row r="33" spans="13:19" ht="19.5" customHeight="1" x14ac:dyDescent="0.2">
      <c r="M33" s="70" t="s">
        <v>171</v>
      </c>
      <c r="N33" s="44"/>
      <c r="O33" s="49">
        <v>0.4583</v>
      </c>
      <c r="P33" s="50">
        <v>0.5</v>
      </c>
      <c r="Q33" s="51">
        <v>0.6667</v>
      </c>
      <c r="R33" s="52">
        <v>0.4333</v>
      </c>
      <c r="S33" s="72">
        <v>0.4706</v>
      </c>
    </row>
    <row r="34" spans="13:19" ht="19.5" customHeight="1" x14ac:dyDescent="0.2">
      <c r="M34" s="70" t="s">
        <v>172</v>
      </c>
      <c r="N34" s="44"/>
      <c r="O34" s="45">
        <v>0.5417000000000001</v>
      </c>
      <c r="P34" s="46">
        <v>0.6333</v>
      </c>
      <c r="Q34" s="47">
        <v>0.7576</v>
      </c>
      <c r="R34" s="48">
        <v>0.4333</v>
      </c>
      <c r="S34" s="71">
        <v>0.5294</v>
      </c>
    </row>
    <row r="35" spans="13:19" ht="19.5" customHeight="1" x14ac:dyDescent="0.2">
      <c r="M35" s="70" t="s">
        <v>173</v>
      </c>
      <c r="N35" s="44"/>
      <c r="O35" s="49">
        <v>0.6818000000000001</v>
      </c>
      <c r="P35" s="50">
        <v>0.7333</v>
      </c>
      <c r="Q35" s="51">
        <v>0.8182</v>
      </c>
      <c r="R35" s="52">
        <v>0.7</v>
      </c>
      <c r="S35" s="72">
        <v>0.7941</v>
      </c>
    </row>
    <row r="36" spans="13:19" ht="19.5" customHeight="1" x14ac:dyDescent="0.2">
      <c r="M36" s="70" t="s">
        <v>174</v>
      </c>
      <c r="N36" s="44"/>
      <c r="O36" s="45"/>
      <c r="P36" s="46">
        <v>0.8</v>
      </c>
      <c r="Q36" s="47">
        <v>0.8788</v>
      </c>
      <c r="R36" s="48">
        <v>0.7</v>
      </c>
      <c r="S36" s="71">
        <v>0.9118</v>
      </c>
    </row>
    <row r="37" spans="13:19" ht="19.5" customHeight="1" x14ac:dyDescent="0.2">
      <c r="M37" s="70" t="s">
        <v>175</v>
      </c>
      <c r="N37" s="44"/>
      <c r="O37" s="49"/>
      <c r="P37" s="50">
        <v>0.8333</v>
      </c>
      <c r="Q37" s="51">
        <v>0.9091</v>
      </c>
      <c r="R37" s="52">
        <v>0.7333</v>
      </c>
      <c r="S37" s="72">
        <v>0.9118</v>
      </c>
    </row>
    <row r="38" spans="13:19" ht="19.5" customHeight="1" x14ac:dyDescent="0.2">
      <c r="M38" s="70" t="s">
        <v>176</v>
      </c>
      <c r="N38" s="44"/>
      <c r="O38" s="45"/>
      <c r="P38" s="46">
        <v>0.8667</v>
      </c>
      <c r="Q38" s="47">
        <v>0.9091</v>
      </c>
      <c r="R38" s="48">
        <v>0.7333</v>
      </c>
      <c r="S38" s="71">
        <v>0.9118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MSB Full-Time Dashboard</vt:lpstr>
      <vt:lpstr>NittyGrittySheet</vt:lpstr>
      <vt:lpstr>BSAcc</vt:lpstr>
      <vt:lpstr>BSEDM</vt:lpstr>
      <vt:lpstr>BSEnt</vt:lpstr>
      <vt:lpstr>BSFin</vt:lpstr>
      <vt:lpstr>BSGSCM</vt:lpstr>
      <vt:lpstr>BSHRM</vt:lpstr>
      <vt:lpstr>BSIS</vt:lpstr>
      <vt:lpstr>BSBusM</vt:lpstr>
      <vt:lpstr>BSMktg</vt:lpstr>
      <vt:lpstr>BSStrat</vt:lpstr>
      <vt:lpstr>MAcc</vt:lpstr>
      <vt:lpstr>MBA</vt:lpstr>
      <vt:lpstr>MISM</vt:lpstr>
      <vt:lpstr>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Ord</dc:creator>
  <cp:keywords/>
  <dc:description/>
  <cp:lastModifiedBy>Carlos Knight</cp:lastModifiedBy>
  <cp:revision/>
  <dcterms:created xsi:type="dcterms:W3CDTF">2026-01-21T15:54:49Z</dcterms:created>
  <dcterms:modified xsi:type="dcterms:W3CDTF">2026-06-30T15:06:40Z</dcterms:modified>
  <cp:category/>
  <cp:contentStatus/>
</cp:coreProperties>
</file>